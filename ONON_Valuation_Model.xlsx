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de9202cd0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ab1c5320aa44723"/>
    <x:sheet xmlns:r="http://schemas.openxmlformats.org/officeDocument/2006/relationships" name="History" sheetId="2" r:id="R47dcaa1a8d684fe7"/>
    <x:sheet xmlns:r="http://schemas.openxmlformats.org/officeDocument/2006/relationships" name="Inputs" sheetId="3" r:id="R1127851964bc41de"/>
    <x:sheet xmlns:r="http://schemas.openxmlformats.org/officeDocument/2006/relationships" name="Assumptions" sheetId="4" r:id="Rde47fd0883df4518"/>
    <x:sheet xmlns:r="http://schemas.openxmlformats.org/officeDocument/2006/relationships" name="Forecast" sheetId="5" r:id="R5f15cc8db2cc4c64"/>
    <x:sheet xmlns:r="http://schemas.openxmlformats.org/officeDocument/2006/relationships" name="Valuation" sheetId="6" r:id="R0011fcc162994467"/>
    <x:sheet xmlns:r="http://schemas.openxmlformats.org/officeDocument/2006/relationships" name="Sensitivity" sheetId="7" r:id="Rbff15c7f810344c8"/>
    <x:sheet xmlns:r="http://schemas.openxmlformats.org/officeDocument/2006/relationships" name="Sources" sheetId="8" r:id="Rcfc581fb5191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$0.00;[Red]($0.00);-"/>
    <x:numFmt numFmtId="202" formatCode="#,##0.0;[Red](#,##0.0);-"/>
    <x:numFmt numFmtId="203" formatCode="0.0&quot;x&quot;;[Red](0.0&quot;x&quot;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223B"/>
      </x:patternFill>
    </x:fill>
    <x:fill>
      <x:patternFill patternType="solid">
        <x:fgColor rgb="FF2F4A75"/>
      </x:patternFill>
    </x:fill>
    <x:fill>
      <x:patternFill patternType="solid">
        <x:fgColor rgb="FFFFFF00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4" fillId="0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4" borderId="0" xfId="0" applyNumberFormat="1" applyFont="1" applyFill="1" applyBorder="1"/>
    <x:xf numFmtId="203" fontId="0" fillId="4" borderId="0" xfId="0" applyNumberFormat="1" applyFont="1" applyFill="1" applyBorder="1"/>
    <x:xf numFmtId="200" fontId="0" fillId="4" borderId="1" xfId="0" applyNumberFormat="1" applyFont="1" applyFill="1" applyBorder="1"/>
    <x:xf numFmtId="203" fontId="0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/>
    </x:xf>
    <x:xf numFmtId="203" fontId="4" fillId="4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4d0a968ba403e" /><Relationship Type="http://schemas.openxmlformats.org/officeDocument/2006/relationships/theme" Target="/xl/theme/theme1.xml" Id="Rced21bb50d14434b" /><Relationship Type="http://schemas.openxmlformats.org/officeDocument/2006/relationships/sharedStrings" Target="/xl/sharedStrings.xml" Id="R2e45bb8c47ac4282" /><Relationship Type="http://schemas.openxmlformats.org/officeDocument/2006/relationships/worksheet" Target="/xl/worksheets/sheet1.xml" Id="R7ab1c5320aa44723" /><Relationship Type="http://schemas.openxmlformats.org/officeDocument/2006/relationships/worksheet" Target="/xl/worksheets/sheet2.xml" Id="R47dcaa1a8d684fe7" /><Relationship Type="http://schemas.openxmlformats.org/officeDocument/2006/relationships/worksheet" Target="/xl/worksheets/sheet3.xml" Id="R1127851964bc41de" /><Relationship Type="http://schemas.openxmlformats.org/officeDocument/2006/relationships/worksheet" Target="/xl/worksheets/sheet4.xml" Id="Rde47fd0883df4518" /><Relationship Type="http://schemas.openxmlformats.org/officeDocument/2006/relationships/worksheet" Target="/xl/worksheets/sheet5.xml" Id="R5f15cc8db2cc4c64" /><Relationship Type="http://schemas.openxmlformats.org/officeDocument/2006/relationships/worksheet" Target="/xl/worksheets/sheet6.xml" Id="R0011fcc162994467" /><Relationship Type="http://schemas.openxmlformats.org/officeDocument/2006/relationships/worksheet" Target="/xl/worksheets/sheet7.xml" Id="Rbff15c7f810344c8" /><Relationship Type="http://schemas.openxmlformats.org/officeDocument/2006/relationships/worksheet" Target="/xl/worksheets/sheet8.xml" Id="Rcfc581fb5191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5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ON HOLDING | LONG-TERM INVESTMENT RESEARCH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BEGINNER PORTFOLIO PROJECT  •  REPORTED DATA VS EDITABLE WHAT-IF FORECASTS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>
      <x:c r="A5" t="str">
        <x:v>Company</x:v>
      </x:c>
      <x:c r="B5" t="str">
        <x:v>On Holding AG</x:v>
      </x:c>
    </x:row>
    <x:row r="6">
      <x:c r="A6" t="str">
        <x:v>Ticker</x:v>
      </x:c>
      <x:c r="B6" t="str">
        <x:v>NYSE: ONON</x:v>
      </x:c>
    </x:row>
    <x:row r="7">
      <x:c r="A7" t="str">
        <x:v>Currency units</x:v>
      </x:c>
      <x:c r="B7" t="str">
        <x:v>CHF million unless share prices (USD)</x:v>
      </x:c>
    </x:row>
    <x:row r="8">
      <x:c r="A8" t="str">
        <x:v>Historical period</x:v>
      </x:c>
      <x:c r="B8" t="str">
        <x:v>FY2023–FY2025</x:v>
      </x:c>
    </x:row>
    <x:row r="9">
      <x:c r="A9" t="str">
        <x:v>Latest earnings</x:v>
      </x:c>
      <x:c r="B9" t="str">
        <x:v>Q2 2026 / H1 2026 (11 Aug 2026)</x:v>
      </x:c>
    </x:row>
    <x:row r="10">
      <x:c r="A10" t="str">
        <x:v>Reference quote</x:v>
      </x:c>
      <x:c r="B10" t="str">
        <x:v>ONON USD 35.41 on 19 Oct 2026</x:v>
      </x:c>
    </x:row>
    <x:row r="11">
      <x:c r="A11" t="str">
        <x:v>Purpose</x:v>
      </x:c>
      <x:c r="B11" t="str">
        <x:v>Learn audited financial analysis and scenario valuation</x:v>
      </x:c>
    </x:row>
    <x:row r="12">
      <x:c r="A12" t="str">
        <x:v>Model</x:v>
      </x:c>
      <x:c r="B12" t="str">
        <x:v>Discounted price-to-sales equity exit, 2031 &amp; 2036</x:v>
      </x:c>
    </x:row>
    <x:row r="13">
      <x:c r="A13" t="str">
        <x:v>Recommendation</x:v>
      </x:c>
      <x:c r="B13" t="str">
        <x:v>WATCHLIST / HOLD — educational only</x:v>
      </x:c>
    </x:row>
    <x:row r="14">
      <x:c r="A14" t="str">
        <x:v>Warnings</x:v>
      </x:c>
      <x:c r="B14" t="str">
        <x:v>Terminal P/S, discounting, FX and dilution are assumptions</x:v>
      </x:c>
    </x:row>
    <x:row r="17">
      <x:c r="A17" s="10" t="str">
        <x:v>KEY METRICS</x:v>
      </x:c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A18" t="str">
        <x:v>2025 reported revenue (CHF m)</x:v>
      </x:c>
      <x:c r="B18" s="12" t="n">
        <x:f>History!D4</x:f>
        <x:v>3014</x:v>
      </x:c>
    </x:row>
    <x:row r="19">
      <x:c r="A19" t="str">
        <x:v>2025 DTC sales mix</x:v>
      </x:c>
      <x:c r="B19" s="14" t="n">
        <x:f>History!D23</x:f>
        <x:v>0.41821499668214995</x:v>
      </x:c>
    </x:row>
    <x:row r="20">
      <x:c r="A20" t="str">
        <x:v>2026 revenue midpoint guidance (CHF m)</x:v>
      </x:c>
      <x:c r="B20" s="12" t="n">
        <x:f>Inputs!B6</x:f>
        <x:v>3515</x:v>
      </x:c>
    </x:row>
    <x:row r="21">
      <x:c r="A21" t="str">
        <x:v>Shares, A economic equivalents (m)</x:v>
      </x:c>
      <x:c r="B21" s="12" t="n">
        <x:f>Inputs!B13</x:f>
        <x:v>336.1087012</x:v>
      </x:c>
    </x:row>
    <x:row r="22">
      <x:c r="A22" t="str">
        <x:v>2031 base revenue (CHF m)</x:v>
      </x:c>
      <x:c r="B22" s="12" t="n">
        <x:f>Forecast!H8</x:f>
        <x:v>7371.73043712</x:v>
      </x:c>
    </x:row>
    <x:row r="23">
      <x:c r="A23" t="str">
        <x:v>2031 base present-equivalent price (USD)</x:v>
      </x:c>
      <x:c r="B23" s="16" t="n">
        <x:f>Valuation!J6</x:f>
        <x:v>47.216146701906744</x:v>
      </x:c>
    </x:row>
    <x:row r="24">
      <x:c r="A24" t="str">
        <x:v>2036 base present-equivalent price (USD)</x:v>
      </x:c>
      <x:c r="B24" s="16" t="n">
        <x:f>Valuation!J7</x:f>
        <x:v>35.91237245672254</x:v>
      </x:c>
    </x:row>
    <x:row r="27" ht="25" customHeight="1">
      <x:c r="A27" s="18" t="str">
        <x:v>IMPORTANT: FY2026 is guidance, not actual. 2027–2036 growth rates / margins / multiples are analyst scenarios, not forecasts from the issuer. USD/CHF fixed at the dated market reference. No live data, no DCF, no personal investment advice.</x:v>
      </x:c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 ht="25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 ht="25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 ht="25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</x:sheetData>
  <x:mergeCells>
    <x:mergeCell ref="A1:J1"/>
    <x:mergeCell ref="A3:J3"/>
    <x:mergeCell ref="A17:J17"/>
    <x:mergeCell ref="A27:J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57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REPORTED HISTORY | FY2023–FY2025 (CHF MILLIONS)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Metric</x:v>
      </x:c>
      <x:c r="B3" s="7" t="n">
        <x:v>2023</x:v>
      </x:c>
      <x:c r="C3" s="7" t="n">
        <x:v>2024</x:v>
      </x:c>
      <x:c r="D3" s="7" t="n">
        <x:v>2025</x:v>
      </x:c>
      <x:c r="E3" s="7" t="str">
        <x:v>Primary source</x:v>
      </x:c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>
      <x:c r="A4" t="str">
        <x:v>Net sales</x:v>
      </x:c>
      <x:c r="B4" s="60" t="n">
        <x:v>1792.1</x:v>
      </x:c>
      <x:c r="C4" s="60" t="n">
        <x:v>2318.3</x:v>
      </x:c>
      <x:c r="D4" s="60" t="n">
        <x:v>3014</x:v>
      </x:c>
      <x:c r="E4" s="61" t="str">
        <x:v>https://www.sec.gov/Archives/edgar/data/1858985/000185898526000008/onholdingag-20251231.htm</x:v>
      </x:c>
      <x:c r="F4" s="61"/>
      <x:c r="G4" s="61"/>
      <x:c r="H4" s="61"/>
      <x:c r="I4" s="61"/>
      <x:c r="J4" s="61"/>
      <x:c r="K4" s="61"/>
      <x:c r="L4" s="61"/>
      <x:c r="M4" s="61"/>
      <x:c r="N4" s="61"/>
      <x:c r="O4" s="61"/>
    </x:row>
    <x:row r="5">
      <x:c r="A5" t="str">
        <x:v>Gross profit</x:v>
      </x:c>
      <x:c r="B5" s="60" t="n">
        <x:v>1067.2</x:v>
      </x:c>
      <x:c r="C5" s="60" t="n">
        <x:v>1405.7</x:v>
      </x:c>
      <x:c r="D5" s="60" t="n">
        <x:v>1893.6</x:v>
      </x:c>
      <x:c r="E5" s="61" t="str">
        <x:v>https://www.sec.gov/Archives/edgar/data/1858985/000185898526000008/onholdingag-20251231.htm</x:v>
      </x:c>
      <x:c r="F5" s="61"/>
      <x:c r="G5" s="61"/>
      <x:c r="H5" s="61"/>
      <x:c r="I5" s="61"/>
      <x:c r="J5" s="61"/>
      <x:c r="K5" s="61"/>
      <x:c r="L5" s="61"/>
      <x:c r="M5" s="61"/>
      <x:c r="N5" s="61"/>
      <x:c r="O5" s="61"/>
    </x:row>
    <x:row r="6">
      <x:c r="A6" t="str">
        <x:v>Operating result</x:v>
      </x:c>
      <x:c r="B6" s="60" t="n">
        <x:v>180.2</x:v>
      </x:c>
      <x:c r="C6" s="60" t="n">
        <x:v>211.6</x:v>
      </x:c>
      <x:c r="D6" s="60" t="n">
        <x:v>377</x:v>
      </x:c>
      <x:c r="E6" s="61" t="str">
        <x:v>https://www.sec.gov/Archives/edgar/data/1858985/000185898526000008/onholdingag-20251231.htm</x:v>
      </x:c>
      <x:c r="F6" s="61"/>
      <x:c r="G6" s="61"/>
      <x:c r="H6" s="61"/>
      <x:c r="I6" s="61"/>
      <x:c r="J6" s="61"/>
      <x:c r="K6" s="61"/>
      <x:c r="L6" s="61"/>
      <x:c r="M6" s="61"/>
      <x:c r="N6" s="61"/>
      <x:c r="O6" s="61"/>
    </x:row>
    <x:row r="7">
      <x:c r="A7" t="str">
        <x:v>Net income</x:v>
      </x:c>
      <x:c r="B7" s="60" t="n">
        <x:v>79.6</x:v>
      </x:c>
      <x:c r="C7" s="60" t="n">
        <x:v>242.3</x:v>
      </x:c>
      <x:c r="D7" s="60" t="n">
        <x:v>203.7</x:v>
      </x:c>
      <x:c r="E7" s="61" t="str">
        <x:v>https://www.sec.gov/Archives/edgar/data/1858985/000185898526000008/onholdingag-20251231.htm</x:v>
      </x:c>
      <x:c r="F7" s="61"/>
      <x:c r="G7" s="61"/>
      <x:c r="H7" s="61"/>
      <x:c r="I7" s="61"/>
      <x:c r="J7" s="61"/>
      <x:c r="K7" s="61"/>
      <x:c r="L7" s="61"/>
      <x:c r="M7" s="61"/>
      <x:c r="N7" s="61"/>
      <x:c r="O7" s="61"/>
    </x:row>
    <x:row r="8">
      <x:c r="A8" t="str">
        <x:v>Adjusted EBITDA (non-IFRS)</x:v>
      </x:c>
      <x:c r="B8" s="60" t="n">
        <x:v>276.9</x:v>
      </x:c>
      <x:c r="C8" s="60" t="n">
        <x:v>387.6</x:v>
      </x:c>
      <x:c r="D8" s="60" t="n">
        <x:v>567</x:v>
      </x:c>
      <x:c r="E8" s="61" t="str">
        <x:v>https://www.sec.gov/Archives/edgar/data/1858985/000185898526000008/onholdingag-20251231.htm</x:v>
      </x:c>
      <x:c r="F8" s="61"/>
      <x:c r="G8" s="61"/>
      <x:c r="H8" s="61"/>
      <x:c r="I8" s="61"/>
      <x:c r="J8" s="61"/>
      <x:c r="K8" s="61"/>
      <x:c r="L8" s="61"/>
      <x:c r="M8" s="61"/>
      <x:c r="N8" s="61"/>
      <x:c r="O8" s="61"/>
    </x:row>
    <x:row r="9">
      <x:c r="A9" t="str">
        <x:v>Operating cash flow</x:v>
      </x:c>
      <x:c r="B9" s="60" t="n">
        <x:v>232.1</x:v>
      </x:c>
      <x:c r="C9" s="60" t="n">
        <x:v>510.6</x:v>
      </x:c>
      <x:c r="D9" s="60" t="n">
        <x:v>359.5</x:v>
      </x:c>
      <x:c r="E9" s="61" t="str">
        <x:v>https://www.sec.gov/Archives/edgar/data/1858985/000185898526000008/onholdingag-20251231.htm</x:v>
      </x:c>
      <x:c r="F9" s="61"/>
      <x:c r="G9" s="61"/>
      <x:c r="H9" s="61"/>
      <x:c r="I9" s="61"/>
      <x:c r="J9" s="61"/>
      <x:c r="K9" s="61"/>
      <x:c r="L9" s="61"/>
      <x:c r="M9" s="61"/>
      <x:c r="N9" s="61"/>
      <x:c r="O9" s="61"/>
    </x:row>
    <x:row r="10">
      <x:c r="A10" t="str">
        <x:v>PP&amp;E capital spending</x:v>
      </x:c>
      <x:c r="B10" s="60" t="n">
        <x:v>42.8</x:v>
      </x:c>
      <x:c r="C10" s="60" t="n">
        <x:v>60.5</x:v>
      </x:c>
      <x:c r="D10" s="60" t="n">
        <x:v>72.9</x:v>
      </x:c>
      <x:c r="E10" s="61" t="str">
        <x:v>https://www.sec.gov/Archives/edgar/data/1858985/000185898526000008/onholdingag-20251231.htm</x:v>
      </x:c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</x:row>
    <x:row r="11">
      <x:c r="A11" t="str">
        <x:v>Simplified CFO less PP&amp;E (not complete FCF)</x:v>
      </x:c>
      <x:c r="B11" s="62" t="n">
        <x:f>B9-B10</x:f>
        <x:v>189.3</x:v>
      </x:c>
      <x:c r="C11" s="62" t="n">
        <x:f>C9-C10</x:f>
        <x:v>450.1</x:v>
      </x:c>
      <x:c r="D11" s="62" t="n">
        <x:f>D9-D10</x:f>
        <x:v>286.6</x:v>
      </x:c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B12" s="62"/>
      <x:c r="C12" s="62"/>
      <x:c r="D12" s="62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</x:row>
    <x:row r="13">
      <x:c r="A13" t="str">
        <x:v>DTC net sales</x:v>
      </x:c>
      <x:c r="B13" s="60" t="n">
        <x:v>671.8</x:v>
      </x:c>
      <x:c r="C13" s="60" t="n">
        <x:v>942.8</x:v>
      </x:c>
      <x:c r="D13" s="60" t="n">
        <x:v>1260.5</x:v>
      </x:c>
      <x:c r="E13" s="61" t="str">
        <x:v>https://www.sec.gov/Archives/edgar/data/1858985/000185898526000008/onholdingag-20251231.htm</x:v>
      </x:c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</x:row>
    <x:row r="14">
      <x:c r="A14" t="str">
        <x:v>Wholesale net sales</x:v>
      </x:c>
      <x:c r="B14" s="60" t="n">
        <x:v>1120.3</x:v>
      </x:c>
      <x:c r="C14" s="60" t="n">
        <x:v>1375.5</x:v>
      </x:c>
      <x:c r="D14" s="60" t="n">
        <x:v>1753.4</x:v>
      </x:c>
      <x:c r="E14" s="61" t="str">
        <x:v>https://www.sec.gov/Archives/edgar/data/1858985/000185898526000008/onholdingag-20251231.htm</x:v>
      </x:c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</x:row>
    <x:row r="15">
      <x:c r="B15" s="62"/>
      <x:c r="C15" s="62"/>
      <x:c r="D15" s="62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A16" t="str">
        <x:v>Americas net sales</x:v>
      </x:c>
      <x:c r="B16" s="60" t="n">
        <x:v>1162.2</x:v>
      </x:c>
      <x:c r="C16" s="60" t="n">
        <x:v>1480.3</x:v>
      </x:c>
      <x:c r="D16" s="60" t="n">
        <x:v>1740.1</x:v>
      </x:c>
      <x:c r="E16" s="61" t="str">
        <x:v>https://www.sec.gov/Archives/edgar/data/1858985/000185898526000008/onholdingag-20251231.htm</x:v>
      </x:c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A17" t="str">
        <x:v>EMEA net sales</x:v>
      </x:c>
      <x:c r="B17" s="60" t="n">
        <x:v>488.7</x:v>
      </x:c>
      <x:c r="C17" s="60" t="n">
        <x:v>577.8</x:v>
      </x:c>
      <x:c r="D17" s="60" t="n">
        <x:v>762.7</x:v>
      </x:c>
      <x:c r="E17" s="61" t="str">
        <x:v>https://www.sec.gov/Archives/edgar/data/1858985/000185898526000008/onholdingag-20251231.htm</x:v>
      </x:c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A18" t="str">
        <x:v>Asia-Pacific net sales</x:v>
      </x:c>
      <x:c r="B18" s="60" t="n">
        <x:v>141.1</x:v>
      </x:c>
      <x:c r="C18" s="60" t="n">
        <x:v>260.2</x:v>
      </x:c>
      <x:c r="D18" s="60" t="n">
        <x:v>511.1</x:v>
      </x:c>
      <x:c r="E18" s="61" t="str">
        <x:v>https://www.sec.gov/Archives/edgar/data/1858985/000185898526000008/onholdingag-20251231.htm</x:v>
      </x:c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A20" t="str">
        <x:v>Gross margin</x:v>
      </x:c>
      <x:c r="B20" s="63" t="n">
        <x:f>B5/B4</x:f>
        <x:v>0.5955024831203617</x:v>
      </x:c>
      <x:c r="C20" s="63" t="n">
        <x:f>C5/C4</x:f>
        <x:v>0.6063494802225768</x:v>
      </x:c>
      <x:c r="D20" s="63" t="n">
        <x:f>D5/D4</x:f>
        <x:v>0.6282680822826808</x:v>
      </x:c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A21" t="str">
        <x:v>Operating margin</x:v>
      </x:c>
      <x:c r="B21" s="63" t="n">
        <x:f>B6/B4</x:f>
        <x:v>0.10055242452988114</x:v>
      </x:c>
      <x:c r="C21" s="63" t="n">
        <x:f>C6/C4</x:f>
        <x:v>0.09127377819954276</x:v>
      </x:c>
      <x:c r="D21" s="63" t="n">
        <x:f>D6/D4</x:f>
        <x:v>0.12508294625082947</x:v>
      </x:c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A22" t="str">
        <x:v>Adjusted EBITDA margin</x:v>
      </x:c>
      <x:c r="B22" s="63" t="n">
        <x:f>B8/B4</x:f>
        <x:v>0.15451146699402935</x:v>
      </x:c>
      <x:c r="C22" s="63" t="n">
        <x:f>C8/C4</x:f>
        <x:v>0.16719147651296207</x:v>
      </x:c>
      <x:c r="D22" s="63" t="n">
        <x:f>D8/D4</x:f>
        <x:v>0.18812209688122097</x:v>
      </x:c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A23" t="str">
        <x:v>DTC mix</x:v>
      </x:c>
      <x:c r="B23" s="63" t="n">
        <x:f>B13/B4</x:f>
        <x:v>0.37486747391328606</x:v>
      </x:c>
      <x:c r="C23" s="63" t="n">
        <x:f>C13/C4</x:f>
        <x:v>0.40667730664711205</x:v>
      </x:c>
      <x:c r="D23" s="63" t="n">
        <x:f>D13/D4</x:f>
        <x:v>0.41821499668214995</x:v>
      </x:c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A24" t="str">
        <x:v>APAC mix</x:v>
      </x:c>
      <x:c r="B24" s="63" t="n">
        <x:f>B18/B4</x:f>
        <x:v>0.0787344456224541</x:v>
      </x:c>
      <x:c r="C24" s="63" t="n">
        <x:f>C18/C4</x:f>
        <x:v>0.11223741534745287</x:v>
      </x:c>
      <x:c r="D24" s="63" t="n">
        <x:f>D18/D4</x:f>
        <x:v>0.16957531519575317</x:v>
      </x:c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A25" t="str">
        <x:v>Revenue YoY</x:v>
      </x:c>
      <x:c r="B25" s="63"/>
      <x:c r="C25" s="63" t="n">
        <x:f>C4/B4-1</x:f>
        <x:v>0.2936220077004632</x:v>
      </x:c>
      <x:c r="D25" s="63" t="n">
        <x:f>D4/C4-1</x:f>
        <x:v>0.3000905836173058</x:v>
      </x:c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  <x:row r="27">
      <x:c r="A27" s="18" t="str">
        <x:v>Historical sums can differ by CHF 0.1m due to annual report rounding. 2026 Q2 figures are separately in data/q2_2026_snapshot.csv.</x:v>
      </x:c>
      <x:c r="B27" s="18"/>
      <x:c r="C27" s="18"/>
      <x:c r="D27" s="18"/>
      <x:c r="E27" s="18"/>
    </x:row>
    <x:row r="28">
      <x:c r="A28" s="18"/>
      <x:c r="B28" s="18"/>
      <x:c r="C28" s="18"/>
      <x:c r="D28" s="18"/>
      <x:c r="E28" s="18"/>
    </x:row>
  </x:sheetData>
  <x:mergeCells>
    <x:mergeCell ref="A1:J1"/>
    <x:mergeCell ref="A27:E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7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MODEL INPUTS | EDIT BLUE ASSUMPTION CELLS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Item</x:v>
      </x:c>
      <x:c r="B3" s="7" t="str">
        <x:v>Input</x:v>
      </x:c>
      <x:c r="C3" s="7" t="str">
        <x:v>Classification</x:v>
      </x:c>
      <x:c r="D3" s="7" t="str">
        <x:v>Source / reasoning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>
      <x:c r="A4" t="str">
        <x:v>NYSE price (USD)</x:v>
      </x:c>
      <x:c r="B4" s="68" t="n">
        <x:v>35.41</x:v>
      </x:c>
      <x:c r="C4" s="61" t="str">
        <x:v>Market, 19 Oct 2026</x:v>
      </x:c>
      <x:c r="D4" s="61" t="str">
        <x:v>https://ycharts.com/companies/ONON/price</x:v>
      </x:c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</x:row>
    <x:row r="5">
      <x:c r="A5" t="str">
        <x:v>USD/CHF (1 USD = CHF)</x:v>
      </x:c>
      <x:c r="B5" s="69" t="n">
        <x:v>0.827</x:v>
      </x:c>
      <x:c r="C5" s="61" t="str">
        <x:v>Market, 19 Oct 2026</x:v>
      </x:c>
      <x:c r="D5" s="61" t="str">
        <x:v>https://www.investing.com/currencies/usd-chf-historical-data</x:v>
      </x:c>
      <x:c r="E5" s="61"/>
      <x:c r="F5" s="61"/>
      <x:c r="G5" s="61"/>
      <x:c r="H5" s="61"/>
      <x:c r="I5" s="61"/>
      <x:c r="J5" s="61"/>
      <x:c r="K5" s="61"/>
      <x:c r="L5" s="61"/>
      <x:c r="M5" s="61"/>
      <x:c r="N5" s="61"/>
      <x:c r="O5" s="61"/>
    </x:row>
    <x:row r="6">
      <x:c r="A6" t="str">
        <x:v>FY2026E revenue (CHF m)</x:v>
      </x:c>
      <x:c r="B6" s="69" t="n">
        <x:v>3515</x:v>
      </x:c>
      <x:c r="C6" s="61" t="str">
        <x:v>Issuer guidance midpoint</x:v>
      </x:c>
      <x:c r="D6" s="61" t="str">
        <x:v>https://www.sec.gov/Archives/edgar/data/1858985/000185898526000018/a26q2-ex993xpressrelease.htm</x:v>
      </x:c>
      <x:c r="E6" s="61"/>
      <x:c r="F6" s="61"/>
      <x:c r="G6" s="61"/>
      <x:c r="H6" s="61"/>
      <x:c r="I6" s="61"/>
      <x:c r="J6" s="61"/>
      <x:c r="K6" s="61"/>
      <x:c r="L6" s="61"/>
      <x:c r="M6" s="61"/>
      <x:c r="N6" s="61"/>
      <x:c r="O6" s="61"/>
    </x:row>
    <x:row r="7">
      <x:c r="A7" t="str">
        <x:v>Required annual equity return</x:v>
      </x:c>
      <x:c r="B7" s="70" t="n">
        <x:v>0.11</x:v>
      </x:c>
      <x:c r="C7" s="61" t="str">
        <x:v>Analyst assumption</x:v>
      </x:c>
      <x:c r="D7" s="61" t="str">
        <x:v>Illustrative hurdle rate (NOT issuer guidance)</x:v>
      </x:c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</x:row>
    <x:row r="8">
      <x:c r="A8" t="str">
        <x:v>Class A outstanding (millions)</x:v>
      </x:c>
      <x:c r="B8" s="69" t="n">
        <x:v>301.715535</x:v>
      </x:c>
      <x:c r="C8" s="61" t="str">
        <x:v>As at 30 Jun 2026</x:v>
      </x:c>
      <x:c r="D8" s="61" t="str">
        <x:v>https://www.sec.gov/Archives/edgar/data/1858985/000185898526000018/onholdingag-20260630_d2.htm</x:v>
      </x:c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</x:row>
    <x:row r="9">
      <x:c r="A9" t="str">
        <x:v>Class B outstanding (millions)</x:v>
      </x:c>
      <x:c r="B9" s="69" t="n">
        <x:v>324.99168</x:v>
      </x:c>
      <x:c r="C9" s="61" t="str">
        <x:v>As at 30 Jun 2026</x:v>
      </x:c>
      <x:c r="D9" s="61" t="str">
        <x:v>https://www.sec.gov/Archives/edgar/data/1858985/000185898526000018/onholdingag-20260630_d2.htm</x:v>
      </x:c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</x:row>
    <x:row r="10">
      <x:c r="A10" t="str">
        <x:v>Dilutive Class A awards (millions)</x:v>
      </x:c>
      <x:c r="B10" s="69" t="n">
        <x:v>1.644629</x:v>
      </x:c>
      <x:c r="C10" s="61" t="str">
        <x:v>June 2026 approximation</x:v>
      </x:c>
      <x:c r="D10" s="61" t="str">
        <x:v>https://www.sec.gov/Archives/edgar/data/1858985/000185898526000018/onholdingag-20260630_d2.htm</x:v>
      </x:c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</x:row>
    <x:row r="11">
      <x:c r="A11" t="str">
        <x:v>Dilutive Class B awards (millions)</x:v>
      </x:c>
      <x:c r="B11" s="69" t="n">
        <x:v>2.493692</x:v>
      </x:c>
      <x:c r="C11" s="61" t="str">
        <x:v>June 2026 approximation</x:v>
      </x:c>
      <x:c r="D11" s="61" t="str">
        <x:v>https://www.sec.gov/Archives/edgar/data/1858985/000185898526000018/onholdingag-20260630_d2.htm</x:v>
      </x:c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A12" t="str">
        <x:v>Class B per 1 Class A</x:v>
      </x:c>
      <x:c r="B12" s="69" t="n">
        <x:v>10</x:v>
      </x:c>
      <x:c r="C12" s="61" t="str">
        <x:v>Share-class economics</x:v>
      </x:c>
      <x:c r="D12" s="61" t="str">
        <x:v>https://www.sec.gov/Archives/edgar/data/1858985/000185898526000008/onholdingag-20251231.htm</x:v>
      </x:c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</x:row>
    <x:row r="13">
      <x:c r="A13" t="str">
        <x:v>Economic Class A equivalents (m)</x:v>
      </x:c>
      <x:c r="B13" s="71" t="n">
        <x:f>B8+B9/B12+B10+B11/B12</x:f>
        <x:v>336.1087012</x:v>
      </x:c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</x:row>
    <x:row r="14">
      <x:c r="A14" t="str">
        <x:v>FY2026E growth vs FY2025</x:v>
      </x:c>
      <x:c r="B14" s="72" t="n">
        <x:f>B6/History!D4-1</x:f>
        <x:v>0.16622428666224276</x:v>
      </x:c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</x:row>
    <x:row r="15">
      <x:c r="A15" t="str">
        <x:v>Implied FY2026E price-to-sales</x:v>
      </x:c>
      <x:c r="B15" s="73" t="n">
        <x:f>B4*B5*B13/B6</x:f>
        <x:v>2.800179440554732</x:v>
      </x:c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A18" t="str">
        <x:v>2026E adjusted EBITDA margin</x:v>
      </x:c>
      <x:c r="B18" s="70" t="n">
        <x:v>0.1975</x:v>
      </x:c>
      <x:c r="C18" s="61" t="str">
        <x:v>Guidance midpoint</x:v>
      </x:c>
      <x:c r="D18" s="61" t="str">
        <x:v>https://www.sec.gov/Archives/edgar/data/1858985/000185898526000018/a26q2-ex993xpressrelease.htm</x:v>
      </x:c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A19" t="str">
        <x:v>2026 guidance: sales low (CHF m)</x:v>
      </x:c>
      <x:c r="B19" s="69" t="n">
        <x:v>3470</x:v>
      </x:c>
      <x:c r="C19" s="61" t="str">
        <x:v>Issuer FY2026 guidance</x:v>
      </x:c>
      <x:c r="D19" s="61" t="str">
        <x:v>https://www.sec.gov/Archives/edgar/data/1858985/000185898526000018/a26q2-ex993xpressrelease.htm</x:v>
      </x:c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A20" t="str">
        <x:v>2026 guidance: sales high (CHF m)</x:v>
      </x:c>
      <x:c r="B20" s="69" t="n">
        <x:v>3560</x:v>
      </x:c>
      <x:c r="C20" s="61" t="str">
        <x:v>Issuer FY2026 guidance</x:v>
      </x:c>
      <x:c r="D20" s="61" t="str">
        <x:v>https://www.sec.gov/Archives/edgar/data/1858985/000185898526000018/a26q2-ex993xpressrelease.htm</x:v>
      </x:c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A21" t="str">
        <x:v>2026 guidance: gross margin floor</x:v>
      </x:c>
      <x:c r="B21" s="70" t="n">
        <x:v>0.65</x:v>
      </x:c>
      <x:c r="C21" s="61" t="str">
        <x:v>Issuer FY2026 guidance</x:v>
      </x:c>
      <x:c r="D21" s="61" t="str">
        <x:v>https://www.sec.gov/Archives/edgar/data/1858985/000185898526000018/a26q2-ex993xpressrelease.htm</x:v>
      </x:c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A24" s="18" t="str">
        <x:v>FY2026E sales are guidance; the multiple is an assumed EQUITY P/S ratio, not EV/Sales. Class B is counted at one-tenth Class A economics. No cash bridge or changes to future share count are modelled.</x:v>
      </x:c>
      <x:c r="B24" s="74"/>
      <x:c r="C24" s="74"/>
      <x:c r="D24" s="74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A25" s="18"/>
      <x:c r="B25" s="74"/>
      <x:c r="C25" s="74"/>
      <x:c r="D25" s="74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  <x:row r="26">
      <x:c r="A26" s="18"/>
      <x:c r="B26" s="18"/>
      <x:c r="C26" s="18"/>
      <x:c r="D26" s="18"/>
    </x:row>
  </x:sheetData>
  <x:mergeCells>
    <x:mergeCell ref="A1:J1"/>
    <x:mergeCell ref="A24:D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ANALYST ASSUMPTIONS | 2027–2036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Scenario</x:v>
      </x:c>
      <x:c r="B3" s="7" t="n">
        <x:v>2027</x:v>
      </x:c>
      <x:c r="C3" s="7" t="n">
        <x:v>2028</x:v>
      </x:c>
      <x:c r="D3" s="7" t="n">
        <x:v>2029</x:v>
      </x:c>
      <x:c r="E3" s="7" t="n">
        <x:v>2030</x:v>
      </x:c>
      <x:c r="F3" s="7" t="n">
        <x:v>2031</x:v>
      </x:c>
      <x:c r="G3" s="7" t="n">
        <x:v>2032</x:v>
      </x:c>
      <x:c r="H3" s="7" t="n">
        <x:v>2033</x:v>
      </x:c>
      <x:c r="I3" s="7" t="n">
        <x:v>2034</x:v>
      </x:c>
      <x:c r="J3" s="7" t="n">
        <x:v>2035</x:v>
      </x:c>
      <x:c r="K3" s="7" t="n">
        <x:v>2036</x:v>
      </x:c>
      <x:c r="L3" s="7" t="str">
        <x:v>Exit P/S 2031</x:v>
      </x:c>
      <x:c r="M3" s="7" t="str">
        <x:v>Exit P/S 2036</x:v>
      </x:c>
      <x:c r="N3" s="7" t="str">
        <x:v>Adj EBITDA 2031</x:v>
      </x:c>
      <x:c r="O3" s="7" t="str">
        <x:v>Adj EBITDA 2036</x:v>
      </x:c>
    </x:row>
    <x:row r="4">
      <x:c r="A4" t="str">
        <x:v>Bear</x:v>
      </x:c>
      <x:c r="B4" s="70" t="n">
        <x:v>0.1</x:v>
      </x:c>
      <x:c r="C4" s="70" t="n">
        <x:v>0.09</x:v>
      </x:c>
      <x:c r="D4" s="70" t="n">
        <x:v>0.08</x:v>
      </x:c>
      <x:c r="E4" s="70" t="n">
        <x:v>0.07</x:v>
      </x:c>
      <x:c r="F4" s="70" t="n">
        <x:v>0.06</x:v>
      </x:c>
      <x:c r="G4" s="70" t="n">
        <x:v>0.05</x:v>
      </x:c>
      <x:c r="H4" s="70" t="n">
        <x:v>0.045</x:v>
      </x:c>
      <x:c r="I4" s="70" t="n">
        <x:v>0.04</x:v>
      </x:c>
      <x:c r="J4" s="70" t="n">
        <x:v>0.035</x:v>
      </x:c>
      <x:c r="K4" s="70" t="n">
        <x:v>0.03</x:v>
      </x:c>
      <x:c r="L4" s="82" t="n">
        <x:v>1.7</x:v>
      </x:c>
      <x:c r="M4" s="82" t="n">
        <x:v>1.4</x:v>
      </x:c>
      <x:c r="N4" s="70" t="n">
        <x:v>0.17</x:v>
      </x:c>
      <x:c r="O4" s="70" t="n">
        <x:v>0.17</x:v>
      </x:c>
    </x:row>
    <x:row r="5">
      <x:c r="A5" t="str">
        <x:v>Base</x:v>
      </x:c>
      <x:c r="B5" s="70" t="n">
        <x:v>0.2</x:v>
      </x:c>
      <x:c r="C5" s="70" t="n">
        <x:v>0.18</x:v>
      </x:c>
      <x:c r="D5" s="70" t="n">
        <x:v>0.16</x:v>
      </x:c>
      <x:c r="E5" s="70" t="n">
        <x:v>0.14</x:v>
      </x:c>
      <x:c r="F5" s="70" t="n">
        <x:v>0.12</x:v>
      </x:c>
      <x:c r="G5" s="70" t="n">
        <x:v>0.11</x:v>
      </x:c>
      <x:c r="H5" s="70" t="n">
        <x:v>0.1</x:v>
      </x:c>
      <x:c r="I5" s="70" t="n">
        <x:v>0.09</x:v>
      </x:c>
      <x:c r="J5" s="70" t="n">
        <x:v>0.08</x:v>
      </x:c>
      <x:c r="K5" s="70" t="n">
        <x:v>0.07</x:v>
      </x:c>
      <x:c r="L5" s="82" t="n">
        <x:v>3</x:v>
      </x:c>
      <x:c r="M5" s="82" t="n">
        <x:v>2.5</x:v>
      </x:c>
      <x:c r="N5" s="70" t="n">
        <x:v>0.22</x:v>
      </x:c>
      <x:c r="O5" s="70" t="n">
        <x:v>0.24</x:v>
      </x:c>
    </x:row>
    <x:row r="6">
      <x:c r="A6" t="str">
        <x:v>Bull</x:v>
      </x:c>
      <x:c r="B6" s="70" t="n">
        <x:v>0.26</x:v>
      </x:c>
      <x:c r="C6" s="70" t="n">
        <x:v>0.24</x:v>
      </x:c>
      <x:c r="D6" s="70" t="n">
        <x:v>0.22</x:v>
      </x:c>
      <x:c r="E6" s="70" t="n">
        <x:v>0.2</x:v>
      </x:c>
      <x:c r="F6" s="70" t="n">
        <x:v>0.18</x:v>
      </x:c>
      <x:c r="G6" s="70" t="n">
        <x:v>0.17</x:v>
      </x:c>
      <x:c r="H6" s="70" t="n">
        <x:v>0.15</x:v>
      </x:c>
      <x:c r="I6" s="70" t="n">
        <x:v>0.14</x:v>
      </x:c>
      <x:c r="J6" s="70" t="n">
        <x:v>0.12</x:v>
      </x:c>
      <x:c r="K6" s="70" t="n">
        <x:v>0.11</x:v>
      </x:c>
      <x:c r="L6" s="82" t="n">
        <x:v>4.5</x:v>
      </x:c>
      <x:c r="M6" s="82" t="n">
        <x:v>4</x:v>
      </x:c>
      <x:c r="N6" s="70" t="n">
        <x:v>0.26</x:v>
      </x:c>
      <x:c r="O6" s="70" t="n">
        <x:v>0.28</x:v>
      </x:c>
    </x:row>
    <x:row r="7"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</x:row>
    <x:row r="8">
      <x:c r="B8" s="61"/>
      <x:c r="C8" s="61"/>
      <x:c r="D8" s="61"/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</x:row>
    <x:row r="9">
      <x:c r="A9" s="18" t="str">
        <x:v>These are hypothetical portfolio-project assumptions, not On Holding forecasts, guidance or consensus estimates. All revenue growth is on reported CHF, not constant currency. EBITDA margins illustrate what operational leverage might look like.</x:v>
      </x:c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</x:row>
    <x:row r="10">
      <x:c r="A10" s="18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  <x:c r="O10" s="74"/>
    </x:row>
    <x:row r="11">
      <x:c r="A11" s="18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  <x:c r="O11" s="74"/>
    </x:row>
    <x:row r="12"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</x:row>
    <x:row r="13"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</x:row>
    <x:row r="14"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</x:row>
    <x:row r="15"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</x:sheetData>
  <x:mergeCells>
    <x:mergeCell ref="A1:J1"/>
    <x:mergeCell ref="A9:O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FORECAST | LONG-TERM REVENUE AND ADJUSTED EBITDA (CHF m)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Scenario</x:v>
      </x:c>
      <x:c r="B3" s="7" t="str">
        <x:v>Metric</x:v>
      </x:c>
      <x:c r="C3" s="7" t="n">
        <x:v>2026</x:v>
      </x:c>
      <x:c r="D3" s="7" t="n">
        <x:v>2027</x:v>
      </x:c>
      <x:c r="E3" s="7" t="n">
        <x:v>2028</x:v>
      </x:c>
      <x:c r="F3" s="7" t="n">
        <x:v>2029</x:v>
      </x:c>
      <x:c r="G3" s="7" t="n">
        <x:v>2030</x:v>
      </x:c>
      <x:c r="H3" s="7" t="n">
        <x:v>2031</x:v>
      </x:c>
      <x:c r="I3" s="7" t="n">
        <x:v>2032</x:v>
      </x:c>
      <x:c r="J3" s="7" t="n">
        <x:v>2033</x:v>
      </x:c>
      <x:c r="K3" s="7" t="n">
        <x:v>2034</x:v>
      </x:c>
      <x:c r="L3" s="7" t="n">
        <x:v>2035</x:v>
      </x:c>
      <x:c r="M3" s="7" t="n">
        <x:v>2036</x:v>
      </x:c>
      <x:c r="N3" s="7"/>
      <x:c r="O3" s="7"/>
    </x:row>
    <x:row r="4">
      <x:c r="A4" t="str">
        <x:v>Bear</x:v>
      </x:c>
      <x:c r="B4" s="61" t="str">
        <x:v>Revenue (CHF m)</x:v>
      </x:c>
      <x:c r="C4" s="84" t="n">
        <x:f>Inputs!$B$6</x:f>
        <x:v>3515</x:v>
      </x:c>
      <x:c r="D4" s="84" t="n">
        <x:f>C4*(1+D5)</x:f>
        <x:v>3866.5000000000005</x:v>
      </x:c>
      <x:c r="E4" s="84" t="n">
        <x:f>D4*(1+E5)</x:f>
        <x:v>4214.485000000001</x:v>
      </x:c>
      <x:c r="F4" s="84" t="n">
        <x:f>E4*(1+F5)</x:f>
        <x:v>4551.643800000001</x:v>
      </x:c>
      <x:c r="G4" s="84" t="n">
        <x:f>F4*(1+G5)</x:f>
        <x:v>4870.258866000001</x:v>
      </x:c>
      <x:c r="H4" s="84" t="n">
        <x:f>G4*(1+H5)</x:f>
        <x:v>5162.474397960002</x:v>
      </x:c>
      <x:c r="I4" s="84" t="n">
        <x:f>H4*(1+I5)</x:f>
        <x:v>5420.598117858002</x:v>
      </x:c>
      <x:c r="J4" s="84" t="n">
        <x:f>I4*(1+J5)</x:f>
        <x:v>5664.525033161612</x:v>
      </x:c>
      <x:c r="K4" s="84" t="n">
        <x:f>J4*(1+K5)</x:f>
        <x:v>5891.106034488076</x:v>
      </x:c>
      <x:c r="L4" s="84" t="n">
        <x:f>K4*(1+L5)</x:f>
        <x:v>6097.294745695159</x:v>
      </x:c>
      <x:c r="M4" s="84" t="n">
        <x:f>L4*(1+M5)</x:f>
        <x:v>6280.2135880660135</x:v>
      </x:c>
      <x:c r="N4" s="61"/>
      <x:c r="O4" s="61"/>
    </x:row>
    <x:row r="5">
      <x:c r="A5" t="str"/>
      <x:c r="B5" s="61" t="str">
        <x:v>Revenue growth</x:v>
      </x:c>
      <x:c r="C5" s="85"/>
      <x:c r="D5" s="86" t="n">
        <x:f>Assumptions!B4</x:f>
        <x:v>0.1</x:v>
      </x:c>
      <x:c r="E5" s="86" t="n">
        <x:f>Assumptions!C4</x:f>
        <x:v>0.09</x:v>
      </x:c>
      <x:c r="F5" s="86" t="n">
        <x:f>Assumptions!D4</x:f>
        <x:v>0.08</x:v>
      </x:c>
      <x:c r="G5" s="86" t="n">
        <x:f>Assumptions!E4</x:f>
        <x:v>0.07</x:v>
      </x:c>
      <x:c r="H5" s="86" t="n">
        <x:f>Assumptions!F4</x:f>
        <x:v>0.06</x:v>
      </x:c>
      <x:c r="I5" s="86" t="n">
        <x:f>Assumptions!G4</x:f>
        <x:v>0.05</x:v>
      </x:c>
      <x:c r="J5" s="86" t="n">
        <x:f>Assumptions!H4</x:f>
        <x:v>0.045</x:v>
      </x:c>
      <x:c r="K5" s="86" t="n">
        <x:f>Assumptions!I4</x:f>
        <x:v>0.04</x:v>
      </x:c>
      <x:c r="L5" s="86" t="n">
        <x:f>Assumptions!J4</x:f>
        <x:v>0.035</x:v>
      </x:c>
      <x:c r="M5" s="86" t="n">
        <x:f>Assumptions!K4</x:f>
        <x:v>0.03</x:v>
      </x:c>
      <x:c r="N5" s="61"/>
      <x:c r="O5" s="61"/>
    </x:row>
    <x:row r="6">
      <x:c r="A6" t="str"/>
      <x:c r="B6" s="61" t="str">
        <x:v>Adjusted EBITDA (CHF m)</x:v>
      </x:c>
      <x:c r="C6" s="84" t="n">
        <x:f>C4*Inputs!$B$18</x:f>
        <x:v>694.2125</x:v>
      </x:c>
      <x:c r="D6" s="84" t="n">
        <x:f>D4*(Inputs!$B$18+(Assumptions!$N$4-Inputs!$B$18)*(D$3-2026)/5)</x:f>
        <x:v>742.368</x:v>
      </x:c>
      <x:c r="E6" s="84" t="n">
        <x:f>E4*(Inputs!$B$18+(Assumptions!$N$4-Inputs!$B$18)*(E$3-2026)/5)</x:f>
        <x:v>786.0014525000001</x:v>
      </x:c>
      <x:c r="F6" s="84" t="n">
        <x:f>F4*(Inputs!$B$18+(Assumptions!$N$4-Inputs!$B$18)*(F$3-2026)/5)</x:f>
        <x:v>823.8475278000002</x:v>
      </x:c>
      <x:c r="G6" s="84" t="n">
        <x:f>G4*(Inputs!$B$18+(Assumptions!$N$4-Inputs!$B$18)*(G$3-2026)/5)</x:f>
        <x:v>854.7304309830002</x:v>
      </x:c>
      <x:c r="H6" s="84" t="n">
        <x:f>H4*(Inputs!$B$18+(Assumptions!$N$4-Inputs!$B$18)*(H$3-2026)/5)</x:f>
        <x:v>877.6206476532003</x:v>
      </x:c>
      <x:c r="I6" s="84" t="n">
        <x:f>I4*(Assumptions!$N$4+(Assumptions!$O$4-Assumptions!$N$4)*(I$3-2031)/5)</x:f>
        <x:v>921.5016800358604</x:v>
      </x:c>
      <x:c r="J6" s="84" t="n">
        <x:f>J4*(Assumptions!$N$4+(Assumptions!$O$4-Assumptions!$N$4)*(J$3-2031)/5)</x:f>
        <x:v>962.969255637474</x:v>
      </x:c>
      <x:c r="K6" s="84" t="n">
        <x:f>K4*(Assumptions!$N$4+(Assumptions!$O$4-Assumptions!$N$4)*(K$3-2031)/5)</x:f>
        <x:v>1001.488025862973</x:v>
      </x:c>
      <x:c r="L6" s="84" t="n">
        <x:f>L4*(Assumptions!$N$4+(Assumptions!$O$4-Assumptions!$N$4)*(L$3-2031)/5)</x:f>
        <x:v>1036.540106768177</x:v>
      </x:c>
      <x:c r="M6" s="84" t="n">
        <x:f>M4*(Assumptions!$N$4+(Assumptions!$O$4-Assumptions!$N$4)*(M$3-2031)/5)</x:f>
        <x:v>1067.6363099712223</x:v>
      </x:c>
      <x:c r="N6" s="61"/>
      <x:c r="O6" s="61"/>
    </x:row>
    <x:row r="7">
      <x:c r="B7" s="61"/>
      <x:c r="C7" s="61"/>
      <x:c r="D7" s="61"/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</x:row>
    <x:row r="8">
      <x:c r="A8" t="str">
        <x:v>Base</x:v>
      </x:c>
      <x:c r="B8" s="61" t="str">
        <x:v>Revenue (CHF m)</x:v>
      </x:c>
      <x:c r="C8" s="84" t="n">
        <x:f>Inputs!$B$6</x:f>
        <x:v>3515</x:v>
      </x:c>
      <x:c r="D8" s="84" t="n">
        <x:f>C8*(1+D9)</x:f>
        <x:v>4218</x:v>
      </x:c>
      <x:c r="E8" s="84" t="n">
        <x:f>D8*(1+E9)</x:f>
        <x:v>4977.24</x:v>
      </x:c>
      <x:c r="F8" s="84" t="n">
        <x:f>E8*(1+F9)</x:f>
        <x:v>5773.598399999999</x:v>
      </x:c>
      <x:c r="G8" s="84" t="n">
        <x:f>F8*(1+G9)</x:f>
        <x:v>6581.902176</x:v>
      </x:c>
      <x:c r="H8" s="84" t="n">
        <x:f>G8*(1+H9)</x:f>
        <x:v>7371.73043712</x:v>
      </x:c>
      <x:c r="I8" s="84" t="n">
        <x:f>H8*(1+I9)</x:f>
        <x:v>8182.6207852032</x:v>
      </x:c>
      <x:c r="J8" s="84" t="n">
        <x:f>I8*(1+J9)</x:f>
        <x:v>9000.88286372352</x:v>
      </x:c>
      <x:c r="K8" s="84" t="n">
        <x:f>J8*(1+K9)</x:f>
        <x:v>9810.962321458637</x:v>
      </x:c>
      <x:c r="L8" s="84" t="n">
        <x:f>K8*(1+L9)</x:f>
        <x:v>10595.839307175329</x:v>
      </x:c>
      <x:c r="M8" s="84" t="n">
        <x:f>L8*(1+M9)</x:f>
        <x:v>11337.548058677603</x:v>
      </x:c>
      <x:c r="N8" s="61"/>
      <x:c r="O8" s="61"/>
    </x:row>
    <x:row r="9">
      <x:c r="A9" t="str"/>
      <x:c r="B9" s="61" t="str">
        <x:v>Revenue growth</x:v>
      </x:c>
      <x:c r="C9" s="85"/>
      <x:c r="D9" s="86" t="n">
        <x:f>Assumptions!B5</x:f>
        <x:v>0.2</x:v>
      </x:c>
      <x:c r="E9" s="86" t="n">
        <x:f>Assumptions!C5</x:f>
        <x:v>0.18</x:v>
      </x:c>
      <x:c r="F9" s="86" t="n">
        <x:f>Assumptions!D5</x:f>
        <x:v>0.16</x:v>
      </x:c>
      <x:c r="G9" s="86" t="n">
        <x:f>Assumptions!E5</x:f>
        <x:v>0.14</x:v>
      </x:c>
      <x:c r="H9" s="86" t="n">
        <x:f>Assumptions!F5</x:f>
        <x:v>0.12</x:v>
      </x:c>
      <x:c r="I9" s="86" t="n">
        <x:f>Assumptions!G5</x:f>
        <x:v>0.11</x:v>
      </x:c>
      <x:c r="J9" s="86" t="n">
        <x:f>Assumptions!H5</x:f>
        <x:v>0.1</x:v>
      </x:c>
      <x:c r="K9" s="86" t="n">
        <x:f>Assumptions!I5</x:f>
        <x:v>0.09</x:v>
      </x:c>
      <x:c r="L9" s="86" t="n">
        <x:f>Assumptions!J5</x:f>
        <x:v>0.08</x:v>
      </x:c>
      <x:c r="M9" s="86" t="n">
        <x:f>Assumptions!K5</x:f>
        <x:v>0.07</x:v>
      </x:c>
      <x:c r="N9" s="61"/>
      <x:c r="O9" s="61"/>
    </x:row>
    <x:row r="10">
      <x:c r="A10" t="str"/>
      <x:c r="B10" s="61" t="str">
        <x:v>Adjusted EBITDA (CHF m)</x:v>
      </x:c>
      <x:c r="C10" s="84" t="n">
        <x:f>C8*Inputs!$B$18</x:f>
        <x:v>694.2125</x:v>
      </x:c>
      <x:c r="D10" s="84" t="n">
        <x:f>D8*(Inputs!$B$18+(Assumptions!$N$5-Inputs!$B$18)*(D$3-2026)/5)</x:f>
        <x:v>852.0360000000001</x:v>
      </x:c>
      <x:c r="E10" s="84" t="n">
        <x:f>E8*(Inputs!$B$18+(Assumptions!$N$5-Inputs!$B$18)*(E$3-2026)/5)</x:f>
        <x:v>1027.80006</x:v>
      </x:c>
      <x:c r="F10" s="84" t="n">
        <x:f>F8*(Inputs!$B$18+(Assumptions!$N$5-Inputs!$B$18)*(F$3-2026)/5)</x:f>
        <x:v>1218.2292623999997</x:v>
      </x:c>
      <x:c r="G10" s="84" t="n">
        <x:f>G8*(Inputs!$B$18+(Assumptions!$N$5-Inputs!$B$18)*(G$3-2026)/5)</x:f>
        <x:v>1418.3999189279998</x:v>
      </x:c>
      <x:c r="H10" s="84" t="n">
        <x:f>H8*(Inputs!$B$18+(Assumptions!$N$5-Inputs!$B$18)*(H$3-2026)/5)</x:f>
        <x:v>1621.7806961664</x:v>
      </x:c>
      <x:c r="I10" s="84" t="n">
        <x:f>I8*(Assumptions!$N$5+(Assumptions!$O$5-Assumptions!$N$5)*(I$3-2031)/5)</x:f>
        <x:v>1832.907055885517</x:v>
      </x:c>
      <x:c r="J10" s="84" t="n">
        <x:f>J8*(Assumptions!$N$5+(Assumptions!$O$5-Assumptions!$N$5)*(J$3-2031)/5)</x:f>
        <x:v>2052.2012929289626</x:v>
      </x:c>
      <x:c r="K10" s="84" t="n">
        <x:f>K8*(Assumptions!$N$5+(Assumptions!$O$5-Assumptions!$N$5)*(K$3-2031)/5)</x:f>
        <x:v>2276.1432585784037</x:v>
      </x:c>
      <x:c r="L10" s="84" t="n">
        <x:f>L8*(Assumptions!$N$5+(Assumptions!$O$5-Assumptions!$N$5)*(L$3-2031)/5)</x:f>
        <x:v>2500.6180764933774</x:v>
      </x:c>
      <x:c r="M10" s="84" t="n">
        <x:f>M8*(Assumptions!$N$5+(Assumptions!$O$5-Assumptions!$N$5)*(M$3-2031)/5)</x:f>
        <x:v>2721.0115340826246</x:v>
      </x:c>
      <x:c r="N10" s="61"/>
      <x:c r="O10" s="61"/>
    </x:row>
    <x:row r="11"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A12" t="str">
        <x:v>Bull</x:v>
      </x:c>
      <x:c r="B12" s="61" t="str">
        <x:v>Revenue (CHF m)</x:v>
      </x:c>
      <x:c r="C12" s="84" t="n">
        <x:f>Inputs!$B$6</x:f>
        <x:v>3515</x:v>
      </x:c>
      <x:c r="D12" s="84" t="n">
        <x:f>C12*(1+D13)</x:f>
        <x:v>4428.9</x:v>
      </x:c>
      <x:c r="E12" s="84" t="n">
        <x:f>D12*(1+E13)</x:f>
        <x:v>5491.835999999999</x:v>
      </x:c>
      <x:c r="F12" s="84" t="n">
        <x:f>E12*(1+F13)</x:f>
        <x:v>6700.039919999999</x:v>
      </x:c>
      <x:c r="G12" s="84" t="n">
        <x:f>F12*(1+G13)</x:f>
        <x:v>8040.047903999999</x:v>
      </x:c>
      <x:c r="H12" s="84" t="n">
        <x:f>G12*(1+H13)</x:f>
        <x:v>9487.256526719999</x:v>
      </x:c>
      <x:c r="I12" s="84" t="n">
        <x:f>H12*(1+I13)</x:f>
        <x:v>11100.090136262397</x:v>
      </x:c>
      <x:c r="J12" s="84" t="n">
        <x:f>I12*(1+J13)</x:f>
        <x:v>12765.103656701756</x:v>
      </x:c>
      <x:c r="K12" s="84" t="n">
        <x:f>J12*(1+K13)</x:f>
        <x:v>14552.218168640004</x:v>
      </x:c>
      <x:c r="L12" s="84" t="n">
        <x:f>K12*(1+L13)</x:f>
        <x:v>16298.484348876806</x:v>
      </x:c>
      <x:c r="M12" s="84" t="n">
        <x:f>L12*(1+M13)</x:f>
        <x:v>18091.317627253255</x:v>
      </x:c>
      <x:c r="N12" s="61"/>
      <x:c r="O12" s="61"/>
    </x:row>
    <x:row r="13">
      <x:c r="A13" t="str"/>
      <x:c r="B13" s="61" t="str">
        <x:v>Revenue growth</x:v>
      </x:c>
      <x:c r="C13" s="85"/>
      <x:c r="D13" s="86" t="n">
        <x:f>Assumptions!B6</x:f>
        <x:v>0.26</x:v>
      </x:c>
      <x:c r="E13" s="86" t="n">
        <x:f>Assumptions!C6</x:f>
        <x:v>0.24</x:v>
      </x:c>
      <x:c r="F13" s="86" t="n">
        <x:f>Assumptions!D6</x:f>
        <x:v>0.22</x:v>
      </x:c>
      <x:c r="G13" s="86" t="n">
        <x:f>Assumptions!E6</x:f>
        <x:v>0.2</x:v>
      </x:c>
      <x:c r="H13" s="86" t="n">
        <x:f>Assumptions!F6</x:f>
        <x:v>0.18</x:v>
      </x:c>
      <x:c r="I13" s="86" t="n">
        <x:f>Assumptions!G6</x:f>
        <x:v>0.17</x:v>
      </x:c>
      <x:c r="J13" s="86" t="n">
        <x:f>Assumptions!H6</x:f>
        <x:v>0.15</x:v>
      </x:c>
      <x:c r="K13" s="86" t="n">
        <x:f>Assumptions!I6</x:f>
        <x:v>0.14</x:v>
      </x:c>
      <x:c r="L13" s="86" t="n">
        <x:f>Assumptions!J6</x:f>
        <x:v>0.12</x:v>
      </x:c>
      <x:c r="M13" s="86" t="n">
        <x:f>Assumptions!K6</x:f>
        <x:v>0.11</x:v>
      </x:c>
      <x:c r="N13" s="61"/>
      <x:c r="O13" s="61"/>
    </x:row>
    <x:row r="14">
      <x:c r="A14" t="str"/>
      <x:c r="B14" s="61" t="str">
        <x:v>Adjusted EBITDA (CHF m)</x:v>
      </x:c>
      <x:c r="C14" s="84" t="n">
        <x:f>C12*Inputs!$B$18</x:f>
        <x:v>694.2125</x:v>
      </x:c>
      <x:c r="D14" s="84" t="n">
        <x:f>D12*(Inputs!$B$18+(Assumptions!$N$6-Inputs!$B$18)*(D$3-2026)/5)</x:f>
        <x:v>930.069</x:v>
      </x:c>
      <x:c r="E14" s="84" t="n">
        <x:f>E12*(Inputs!$B$18+(Assumptions!$N$6-Inputs!$B$18)*(E$3-2026)/5)</x:f>
        <x:v>1221.9335099999998</x:v>
      </x:c>
      <x:c r="F14" s="84" t="n">
        <x:f>F12*(Inputs!$B$18+(Assumptions!$N$6-Inputs!$B$18)*(F$3-2026)/5)</x:f>
        <x:v>1574.5093812</x:v>
      </x:c>
      <x:c r="G14" s="84" t="n">
        <x:f>G12*(Inputs!$B$18+(Assumptions!$N$6-Inputs!$B$18)*(G$3-2026)/5)</x:f>
        <x:v>1989.9118562399997</x:v>
      </x:c>
      <x:c r="H14" s="84" t="n">
        <x:f>H12*(Inputs!$B$18+(Assumptions!$N$6-Inputs!$B$18)*(H$3-2026)/5)</x:f>
        <x:v>2466.6866969472</x:v>
      </x:c>
      <x:c r="I14" s="84" t="n">
        <x:f>I12*(Assumptions!$N$6+(Assumptions!$O$6-Assumptions!$N$6)*(I$3-2031)/5)</x:f>
        <x:v>2930.423795973273</x:v>
      </x:c>
      <x:c r="J14" s="84" t="n">
        <x:f>J12*(Assumptions!$N$6+(Assumptions!$O$6-Assumptions!$N$6)*(J$3-2031)/5)</x:f>
        <x:v>3421.047779996071</x:v>
      </x:c>
      <x:c r="K14" s="84" t="n">
        <x:f>K12*(Assumptions!$N$6+(Assumptions!$O$6-Assumptions!$N$6)*(K$3-2031)/5)</x:f>
        <x:v>3958.203341870081</x:v>
      </x:c>
      <x:c r="L14" s="84" t="n">
        <x:f>L12*(Assumptions!$N$6+(Assumptions!$O$6-Assumptions!$N$6)*(L$3-2031)/5)</x:f>
        <x:v>4498.381680289999</x:v>
      </x:c>
      <x:c r="M14" s="84" t="n">
        <x:f>M12*(Assumptions!$N$6+(Assumptions!$O$6-Assumptions!$N$6)*(M$3-2031)/5)</x:f>
        <x:v>5065.568935630912</x:v>
      </x:c>
      <x:c r="N14" s="61"/>
      <x:c r="O14" s="61"/>
    </x:row>
    <x:row r="15"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A17" s="18" t="str">
        <x:v>Assumptions: all future growth and margins are author's what-if scenarios. FY2026 baseline uses management sales and adjusted EBITDA margin guidance midpoint. No precise interim timing or forecast updates are modelled.</x:v>
      </x:c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61"/>
      <x:c r="O17" s="61"/>
    </x:row>
    <x:row r="18">
      <x:c r="A18" s="18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</x:sheetData>
  <x:mergeCells>
    <x:mergeCell ref="A1:J1"/>
    <x:mergeCell ref="A17:M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4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VALUATION | DISCOUNTED P/S EQUITY EXIT (ILLUSTRATIVE)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Scenario</x:v>
      </x:c>
      <x:c r="B3" s="7" t="str">
        <x:v>Exit year</x:v>
      </x:c>
      <x:c r="C3" s="7" t="str">
        <x:v>Sales CHF m</x:v>
      </x:c>
      <x:c r="D3" s="7" t="str">
        <x:v>Adj EBITDA margin</x:v>
      </x:c>
      <x:c r="E3" s="7" t="str">
        <x:v>Adj EBITDA CHF m</x:v>
      </x:c>
      <x:c r="F3" s="7" t="str">
        <x:v>Exit P/S</x:v>
      </x:c>
      <x:c r="G3" s="7" t="str">
        <x:v>Equity CHF m</x:v>
      </x:c>
      <x:c r="H3" s="7" t="str">
        <x:v>Future CHF/A share</x:v>
      </x:c>
      <x:c r="I3" s="7" t="str">
        <x:v>Future USD/A share</x:v>
      </x:c>
      <x:c r="J3" s="7" t="str">
        <x:v>PV equiv USD/A</x:v>
      </x:c>
      <x:c r="K3" s="7" t="str">
        <x:v>Vs price reference</x:v>
      </x:c>
      <x:c r="L3" s="7" t="str">
        <x:v>Calculation method</x:v>
      </x:c>
      <x:c r="M3" s="7"/>
      <x:c r="N3" s="7"/>
      <x:c r="O3" s="7"/>
    </x:row>
    <x:row r="4">
      <x:c r="A4" t="str">
        <x:v>Bear</x:v>
      </x:c>
      <x:c r="B4" s="61" t="n">
        <x:v>2031</x:v>
      </x:c>
      <x:c r="C4" s="84" t="n">
        <x:f>Forecast!H4</x:f>
        <x:v>5162.474397960002</x:v>
      </x:c>
      <x:c r="D4" s="86" t="n">
        <x:f>Assumptions!N4</x:f>
        <x:v>0.17</x:v>
      </x:c>
      <x:c r="E4" s="90" t="n">
        <x:f>C4*D4</x:f>
        <x:v>877.6206476532003</x:v>
      </x:c>
      <x:c r="F4" s="91" t="n">
        <x:f>Assumptions!L4</x:f>
        <x:v>1.7</x:v>
      </x:c>
      <x:c r="G4" s="90" t="n">
        <x:f>C4*F4</x:f>
        <x:v>8776.206476532003</x:v>
      </x:c>
      <x:c r="H4" s="92" t="n">
        <x:f>G4/Inputs!$B$13</x:f>
        <x:v>26.111214750461816</x:v>
      </x:c>
      <x:c r="I4" s="92" t="n">
        <x:f>H4/Inputs!$B$5</x:f>
        <x:v>31.573415659566887</x:v>
      </x:c>
      <x:c r="J4" s="92" t="n">
        <x:f>I4/(1+Inputs!$B$7)^(B4-2026)</x:f>
        <x:v>18.73728545451486</x:v>
      </x:c>
      <x:c r="K4" s="72" t="n">
        <x:f>J4/Inputs!$B$4-1</x:f>
        <x:v>-0.47084762907328825</x:v>
      </x:c>
      <x:c r="L4" s="61" t="str">
        <x:v>Equity P/S; no net-cash addition</x:v>
      </x:c>
      <x:c r="M4" s="61"/>
      <x:c r="N4" s="61"/>
      <x:c r="O4" s="61"/>
    </x:row>
    <x:row r="5">
      <x:c r="A5" t="str">
        <x:v>Bear</x:v>
      </x:c>
      <x:c r="B5" s="61" t="n">
        <x:v>2036</x:v>
      </x:c>
      <x:c r="C5" s="84" t="n">
        <x:f>Forecast!M4</x:f>
        <x:v>6280.2135880660135</x:v>
      </x:c>
      <x:c r="D5" s="86" t="n">
        <x:f>Assumptions!O4</x:f>
        <x:v>0.17</x:v>
      </x:c>
      <x:c r="E5" s="90" t="n">
        <x:f>C5*D5</x:f>
        <x:v>1067.6363099712223</x:v>
      </x:c>
      <x:c r="F5" s="91" t="n">
        <x:f>Assumptions!M4</x:f>
        <x:v>1.4</x:v>
      </x:c>
      <x:c r="G5" s="90" t="n">
        <x:f>C5*F5</x:f>
        <x:v>8792.299023292418</x:v>
      </x:c>
      <x:c r="H5" s="92" t="n">
        <x:f>G5/Inputs!$B$13</x:f>
        <x:v>26.15909374527201</x:v>
      </x:c>
      <x:c r="I5" s="92" t="n">
        <x:f>H5/Inputs!$B$5</x:f>
        <x:v>31.631310453775104</x:v>
      </x:c>
      <x:c r="J5" s="92" t="n">
        <x:f>I5/(1+Inputs!$B$7)^(B5-2026)</x:f>
        <x:v>11.140056585116131</x:v>
      </x:c>
      <x:c r="K5" s="72" t="n">
        <x:f>J5/Inputs!$B$4-1</x:f>
        <x:v>-0.6853980066332637</x:v>
      </x:c>
      <x:c r="L5" s="61" t="str">
        <x:v>Equity P/S; no net-cash addition</x:v>
      </x:c>
      <x:c r="M5" s="61"/>
      <x:c r="N5" s="61"/>
      <x:c r="O5" s="61"/>
    </x:row>
    <x:row r="6">
      <x:c r="A6" t="str">
        <x:v>Base</x:v>
      </x:c>
      <x:c r="B6" s="61" t="n">
        <x:v>2031</x:v>
      </x:c>
      <x:c r="C6" s="84" t="n">
        <x:f>Forecast!H8</x:f>
        <x:v>7371.73043712</x:v>
      </x:c>
      <x:c r="D6" s="86" t="n">
        <x:f>Assumptions!N5</x:f>
        <x:v>0.22</x:v>
      </x:c>
      <x:c r="E6" s="90" t="n">
        <x:f>C6*D6</x:f>
        <x:v>1621.7806961664</x:v>
      </x:c>
      <x:c r="F6" s="91" t="n">
        <x:f>Assumptions!L5</x:f>
        <x:v>3</x:v>
      </x:c>
      <x:c r="G6" s="90" t="n">
        <x:f>C6*F6</x:f>
        <x:v>22115.19131136</x:v>
      </x:c>
      <x:c r="H6" s="92" t="n">
        <x:f>G6/Inputs!$B$13</x:f>
        <x:v>65.7977351743728</x:v>
      </x:c>
      <x:c r="I6" s="92" t="n">
        <x:f>H6/Inputs!$B$5</x:f>
        <x:v>79.56195305244596</x:v>
      </x:c>
      <x:c r="J6" s="92" t="n">
        <x:f>I6/(1+Inputs!$B$7)^(B6-2026)</x:f>
        <x:v>47.216146701906744</x:v>
      </x:c>
      <x:c r="K6" s="72" t="n">
        <x:f>J6/Inputs!$B$4-1</x:f>
        <x:v>0.3334127845779935</x:v>
      </x:c>
      <x:c r="L6" s="61" t="str">
        <x:v>Equity P/S; no net-cash addition</x:v>
      </x:c>
      <x:c r="M6" s="61"/>
      <x:c r="N6" s="61"/>
      <x:c r="O6" s="61"/>
    </x:row>
    <x:row r="7">
      <x:c r="A7" t="str">
        <x:v>Base</x:v>
      </x:c>
      <x:c r="B7" s="61" t="n">
        <x:v>2036</x:v>
      </x:c>
      <x:c r="C7" s="84" t="n">
        <x:f>Forecast!M8</x:f>
        <x:v>11337.548058677603</x:v>
      </x:c>
      <x:c r="D7" s="86" t="n">
        <x:f>Assumptions!O5</x:f>
        <x:v>0.24</x:v>
      </x:c>
      <x:c r="E7" s="90" t="n">
        <x:f>C7*D7</x:f>
        <x:v>2721.0115340826246</x:v>
      </x:c>
      <x:c r="F7" s="91" t="n">
        <x:f>Assumptions!M5</x:f>
        <x:v>2.5</x:v>
      </x:c>
      <x:c r="G7" s="90" t="n">
        <x:f>C7*F7</x:f>
        <x:v>28343.870146694007</x:v>
      </x:c>
      <x:c r="H7" s="92" t="n">
        <x:f>G7/Inputs!$B$13</x:f>
        <x:v>84.32947449887087</x:v>
      </x:c>
      <x:c r="I7" s="92" t="n">
        <x:f>H7/Inputs!$B$5</x:f>
        <x:v>101.97034401314495</x:v>
      </x:c>
      <x:c r="J7" s="92" t="n">
        <x:f>I7/(1+Inputs!$B$7)^(B7-2026)</x:f>
        <x:v>35.91237245672254</x:v>
      </x:c>
      <x:c r="K7" s="72" t="n">
        <x:f>J7/Inputs!$B$4-1</x:f>
        <x:v>0.014187304623624497</x:v>
      </x:c>
      <x:c r="L7" s="61" t="str">
        <x:v>Equity P/S; no net-cash addition</x:v>
      </x:c>
      <x:c r="M7" s="61"/>
      <x:c r="N7" s="61"/>
      <x:c r="O7" s="61"/>
    </x:row>
    <x:row r="8">
      <x:c r="A8" t="str">
        <x:v>Bull</x:v>
      </x:c>
      <x:c r="B8" s="61" t="n">
        <x:v>2031</x:v>
      </x:c>
      <x:c r="C8" s="84" t="n">
        <x:f>Forecast!H12</x:f>
        <x:v>9487.256526719999</x:v>
      </x:c>
      <x:c r="D8" s="86" t="n">
        <x:f>Assumptions!N6</x:f>
        <x:v>0.26</x:v>
      </x:c>
      <x:c r="E8" s="90" t="n">
        <x:f>C8*D8</x:f>
        <x:v>2466.6866969472</x:v>
      </x:c>
      <x:c r="F8" s="91" t="n">
        <x:f>Assumptions!L6</x:f>
        <x:v>4.5</x:v>
      </x:c>
      <x:c r="G8" s="90" t="n">
        <x:f>C8*F8</x:f>
        <x:v>42692.654370239994</x:v>
      </x:c>
      <x:c r="H8" s="92" t="n">
        <x:f>G8/Inputs!$B$13</x:f>
        <x:v>127.02037828183424</x:v>
      </x:c>
      <x:c r="I8" s="92" t="n">
        <x:f>H8/Inputs!$B$5</x:f>
        <x:v>153.5917512476835</x:v>
      </x:c>
      <x:c r="J8" s="92" t="n">
        <x:f>I8/(1+Inputs!$B$7)^(B8-2026)</x:f>
        <x:v>91.14922875677756</x:v>
      </x:c>
      <x:c r="K8" s="72" t="n">
        <x:f>J8/Inputs!$B$4-1</x:f>
        <x:v>1.5741098208635291</x:v>
      </x:c>
      <x:c r="L8" s="61" t="str">
        <x:v>Equity P/S; no net-cash addition</x:v>
      </x:c>
      <x:c r="M8" s="61"/>
      <x:c r="N8" s="61"/>
      <x:c r="O8" s="61"/>
    </x:row>
    <x:row r="9">
      <x:c r="A9" t="str">
        <x:v>Bull</x:v>
      </x:c>
      <x:c r="B9" s="61" t="n">
        <x:v>2036</x:v>
      </x:c>
      <x:c r="C9" s="84" t="n">
        <x:f>Forecast!M12</x:f>
        <x:v>18091.317627253255</x:v>
      </x:c>
      <x:c r="D9" s="86" t="n">
        <x:f>Assumptions!O6</x:f>
        <x:v>0.28</x:v>
      </x:c>
      <x:c r="E9" s="90" t="n">
        <x:f>C9*D9</x:f>
        <x:v>5065.568935630912</x:v>
      </x:c>
      <x:c r="F9" s="91" t="n">
        <x:f>Assumptions!M6</x:f>
        <x:v>4</x:v>
      </x:c>
      <x:c r="G9" s="90" t="n">
        <x:f>C9*F9</x:f>
        <x:v>72365.27050901302</x:v>
      </x:c>
      <x:c r="H9" s="92" t="n">
        <x:f>G9/Inputs!$B$13</x:f>
        <x:v>215.30317498669095</x:v>
      </x:c>
      <x:c r="I9" s="92" t="n">
        <x:f>H9/Inputs!$B$5</x:f>
        <x:v>260.34241231764327</x:v>
      </x:c>
      <x:c r="J9" s="92" t="n">
        <x:f>I9/(1+Inputs!$B$7)^(B9-2026)</x:f>
        <x:v>91.68855678497656</x:v>
      </x:c>
      <x:c r="K9" s="72" t="n">
        <x:f>J9/Inputs!$B$4-1</x:f>
        <x:v>1.589340773368443</x:v>
      </x:c>
      <x:c r="L9" s="61" t="str">
        <x:v>Equity P/S; no net-cash addition</x:v>
      </x:c>
      <x:c r="M9" s="61"/>
      <x:c r="N9" s="61"/>
      <x:c r="O9" s="61"/>
    </x:row>
    <x:row r="10"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</x:row>
    <x:row r="11"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A12" s="18" t="str">
        <x:v>HOW TO READ: The PV USD output is an end-2026 equivalent, not an actual 2031 or 2036 quote. P/S is an analyst exit assumption, future USD/CHF is held constant, shares are held flat.</x:v>
      </x:c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61"/>
      <x:c r="N12" s="61"/>
      <x:c r="O12" s="61"/>
    </x:row>
    <x:row r="13"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</x:row>
    <x:row r="14">
      <x:c r="A14" s="18" t="str">
        <x:v>P/S is EQUITY value divided by sales. It is not EV/Sales, so adding net cash would double-count it. The 2026 discount anchor approximates the 19 Oct 2026 quote date; price comparisons are illustrative.</x:v>
      </x:c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61"/>
      <x:c r="N14" s="61"/>
      <x:c r="O14" s="61"/>
    </x:row>
    <x:row r="15">
      <x:c r="A15" s="18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</x:sheetData>
  <x:mergeCells>
    <x:mergeCell ref="A1:J1"/>
    <x:mergeCell ref="A12:L12"/>
    <x:mergeCell ref="A14:L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SENSITIVITY | BASE 2031 PV USD/SHARE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Discount rate / P/S</x:v>
      </x:c>
      <x:c r="B3" s="7" t="str"/>
      <x:c r="C3" s="7" t="str"/>
      <x:c r="D3" s="7" t="str"/>
      <x:c r="E3" s="7" t="str"/>
      <x:c r="F3" s="7" t="str"/>
      <x:c r="G3" s="7" t="str"/>
      <x:c r="H3" s="7" t="str"/>
      <x:c r="I3" s="7"/>
      <x:c r="J3" s="7"/>
      <x:c r="K3" s="7"/>
      <x:c r="L3" s="7"/>
      <x:c r="M3" s="7"/>
      <x:c r="N3" s="7"/>
      <x:c r="O3" s="7"/>
    </x:row>
    <x:row r="4">
      <x:c r="A4" t="str">
        <x:v>Return / exit P/S</x:v>
      </x:c>
      <x:c r="B4" s="96" t="n">
        <x:v>1.5</x:v>
      </x:c>
      <x:c r="C4" s="96" t="n">
        <x:v>2</x:v>
      </x:c>
      <x:c r="D4" s="96" t="n">
        <x:v>2.5</x:v>
      </x:c>
      <x:c r="E4" s="96" t="n">
        <x:v>3</x:v>
      </x:c>
      <x:c r="F4" s="96" t="n">
        <x:v>3.5</x:v>
      </x:c>
      <x:c r="G4" s="96" t="n">
        <x:v>4</x:v>
      </x:c>
      <x:c r="H4" s="96" t="n">
        <x:v>5</x:v>
      </x:c>
      <x:c r="I4" s="61"/>
      <x:c r="J4" s="61"/>
      <x:c r="K4" s="61"/>
      <x:c r="L4" s="61"/>
      <x:c r="M4" s="61"/>
      <x:c r="N4" s="61"/>
      <x:c r="O4" s="61"/>
    </x:row>
    <x:row r="5">
      <x:c r="A5" s="26" t="n">
        <x:v>0.08</x:v>
      </x:c>
      <x:c r="B5" s="97" t="n">
        <x:f>Forecast!$H$8*B$4/Inputs!$B$13/Inputs!$B$5/(1+$A5)^5</x:f>
        <x:v>27.074264185341516</x:v>
      </x:c>
      <x:c r="C5" s="97" t="n">
        <x:f>Forecast!$H$8*C$4/Inputs!$B$13/Inputs!$B$5/(1+$A5)^5</x:f>
        <x:v>36.09901891378869</x:v>
      </x:c>
      <x:c r="D5" s="97" t="n">
        <x:f>Forecast!$H$8*D$4/Inputs!$B$13/Inputs!$B$5/(1+$A5)^5</x:f>
        <x:v>45.12377364223586</x:v>
      </x:c>
      <x:c r="E5" s="97" t="n">
        <x:f>Forecast!$H$8*E$4/Inputs!$B$13/Inputs!$B$5/(1+$A5)^5</x:f>
        <x:v>54.14852837068303</x:v>
      </x:c>
      <x:c r="F5" s="97" t="n">
        <x:f>Forecast!$H$8*F$4/Inputs!$B$13/Inputs!$B$5/(1+$A5)^5</x:f>
        <x:v>63.17328309913022</x:v>
      </x:c>
      <x:c r="G5" s="97" t="n">
        <x:f>Forecast!$H$8*G$4/Inputs!$B$13/Inputs!$B$5/(1+$A5)^5</x:f>
        <x:v>72.19803782757738</x:v>
      </x:c>
      <x:c r="H5" s="97" t="n">
        <x:f>Forecast!$H$8*H$4/Inputs!$B$13/Inputs!$B$5/(1+$A5)^5</x:f>
        <x:v>90.24754728447172</x:v>
      </x:c>
      <x:c r="I5" s="61"/>
      <x:c r="J5" s="61"/>
      <x:c r="K5" s="61"/>
      <x:c r="L5" s="61"/>
      <x:c r="M5" s="61"/>
      <x:c r="N5" s="61"/>
      <x:c r="O5" s="61"/>
    </x:row>
    <x:row r="6">
      <x:c r="A6" s="26" t="n">
        <x:v>0.1</x:v>
      </x:c>
      <x:c r="B6" s="97" t="n">
        <x:f>Forecast!$H$8*B$4/Inputs!$B$13/Inputs!$B$5/(1+$A6)^5</x:f>
        <x:v>24.70085657724756</x:v>
      </x:c>
      <x:c r="C6" s="97" t="n">
        <x:f>Forecast!$H$8*C$4/Inputs!$B$13/Inputs!$B$5/(1+$A6)^5</x:f>
        <x:v>32.93447543633008</x:v>
      </x:c>
      <x:c r="D6" s="97" t="n">
        <x:f>Forecast!$H$8*D$4/Inputs!$B$13/Inputs!$B$5/(1+$A6)^5</x:f>
        <x:v>41.1680942954126</x:v>
      </x:c>
      <x:c r="E6" s="97" t="n">
        <x:f>Forecast!$H$8*E$4/Inputs!$B$13/Inputs!$B$5/(1+$A6)^5</x:f>
        <x:v>49.40171315449512</x:v>
      </x:c>
      <x:c r="F6" s="97" t="n">
        <x:f>Forecast!$H$8*F$4/Inputs!$B$13/Inputs!$B$5/(1+$A6)^5</x:f>
        <x:v>57.635332013577646</x:v>
      </x:c>
      <x:c r="G6" s="97" t="n">
        <x:f>Forecast!$H$8*G$4/Inputs!$B$13/Inputs!$B$5/(1+$A6)^5</x:f>
        <x:v>65.86895087266016</x:v>
      </x:c>
      <x:c r="H6" s="97" t="n">
        <x:f>Forecast!$H$8*H$4/Inputs!$B$13/Inputs!$B$5/(1+$A6)^5</x:f>
        <x:v>82.3361885908252</x:v>
      </x:c>
      <x:c r="I6" s="61"/>
      <x:c r="J6" s="61"/>
      <x:c r="K6" s="61"/>
      <x:c r="L6" s="61"/>
      <x:c r="M6" s="61"/>
      <x:c r="N6" s="61"/>
      <x:c r="O6" s="61"/>
    </x:row>
    <x:row r="7">
      <x:c r="A7" s="26" t="n">
        <x:v>0.11</x:v>
      </x:c>
      <x:c r="B7" s="97" t="n">
        <x:f>Forecast!$H$8*B$4/Inputs!$B$13/Inputs!$B$5/(1+$A7)^5</x:f>
        <x:v>23.608073350953372</x:v>
      </x:c>
      <x:c r="C7" s="97" t="n">
        <x:f>Forecast!$H$8*C$4/Inputs!$B$13/Inputs!$B$5/(1+$A7)^5</x:f>
        <x:v>31.4774311346045</x:v>
      </x:c>
      <x:c r="D7" s="97" t="n">
        <x:f>Forecast!$H$8*D$4/Inputs!$B$13/Inputs!$B$5/(1+$A7)^5</x:f>
        <x:v>39.346788918255626</x:v>
      </x:c>
      <x:c r="E7" s="98" t="n">
        <x:f>Forecast!$H$8*E$4/Inputs!$B$13/Inputs!$B$5/(1+$A7)^5</x:f>
        <x:v>47.216146701906744</x:v>
      </x:c>
      <x:c r="F7" s="97" t="n">
        <x:f>Forecast!$H$8*F$4/Inputs!$B$13/Inputs!$B$5/(1+$A7)^5</x:f>
        <x:v>55.08550448555788</x:v>
      </x:c>
      <x:c r="G7" s="97" t="n">
        <x:f>Forecast!$H$8*G$4/Inputs!$B$13/Inputs!$B$5/(1+$A7)^5</x:f>
        <x:v>62.954862269209</x:v>
      </x:c>
      <x:c r="H7" s="97" t="n">
        <x:f>Forecast!$H$8*H$4/Inputs!$B$13/Inputs!$B$5/(1+$A7)^5</x:f>
        <x:v>78.69357783651125</x:v>
      </x:c>
      <x:c r="I7" s="61"/>
      <x:c r="J7" s="61"/>
      <x:c r="K7" s="61"/>
      <x:c r="L7" s="61"/>
      <x:c r="M7" s="61"/>
      <x:c r="N7" s="61"/>
      <x:c r="O7" s="61"/>
    </x:row>
    <x:row r="8">
      <x:c r="A8" s="26" t="n">
        <x:v>0.12</x:v>
      </x:c>
      <x:c r="B8" s="97" t="n">
        <x:f>Forecast!$H$8*B$4/Inputs!$B$13/Inputs!$B$5/(1+$A8)^5</x:f>
        <x:v>22.57279442769011</x:v>
      </x:c>
      <x:c r="C8" s="97" t="n">
        <x:f>Forecast!$H$8*C$4/Inputs!$B$13/Inputs!$B$5/(1+$A8)^5</x:f>
        <x:v>30.09705923692015</x:v>
      </x:c>
      <x:c r="D8" s="97" t="n">
        <x:f>Forecast!$H$8*D$4/Inputs!$B$13/Inputs!$B$5/(1+$A8)^5</x:f>
        <x:v>37.621324046150185</x:v>
      </x:c>
      <x:c r="E8" s="97" t="n">
        <x:f>Forecast!$H$8*E$4/Inputs!$B$13/Inputs!$B$5/(1+$A8)^5</x:f>
        <x:v>45.14558885538022</x:v>
      </x:c>
      <x:c r="F8" s="97" t="n">
        <x:f>Forecast!$H$8*F$4/Inputs!$B$13/Inputs!$B$5/(1+$A8)^5</x:f>
        <x:v>52.66985366461026</x:v>
      </x:c>
      <x:c r="G8" s="97" t="n">
        <x:f>Forecast!$H$8*G$4/Inputs!$B$13/Inputs!$B$5/(1+$A8)^5</x:f>
        <x:v>60.1941184738403</x:v>
      </x:c>
      <x:c r="H8" s="97" t="n">
        <x:f>Forecast!$H$8*H$4/Inputs!$B$13/Inputs!$B$5/(1+$A8)^5</x:f>
        <x:v>75.24264809230037</x:v>
      </x:c>
      <x:c r="I8" s="61"/>
      <x:c r="J8" s="61"/>
      <x:c r="K8" s="61"/>
      <x:c r="L8" s="61"/>
      <x:c r="M8" s="61"/>
      <x:c r="N8" s="61"/>
      <x:c r="O8" s="61"/>
    </x:row>
    <x:row r="9">
      <x:c r="A9" s="26" t="n">
        <x:v>0.14</x:v>
      </x:c>
      <x:c r="B9" s="97" t="n">
        <x:f>Forecast!$H$8*B$4/Inputs!$B$13/Inputs!$B$5/(1+$A9)^5</x:f>
        <x:v>20.66099264535359</x:v>
      </x:c>
      <x:c r="C9" s="97" t="n">
        <x:f>Forecast!$H$8*C$4/Inputs!$B$13/Inputs!$B$5/(1+$A9)^5</x:f>
        <x:v>27.54799019380479</x:v>
      </x:c>
      <x:c r="D9" s="97" t="n">
        <x:f>Forecast!$H$8*D$4/Inputs!$B$13/Inputs!$B$5/(1+$A9)^5</x:f>
        <x:v>34.434987742255984</x:v>
      </x:c>
      <x:c r="E9" s="97" t="n">
        <x:f>Forecast!$H$8*E$4/Inputs!$B$13/Inputs!$B$5/(1+$A9)^5</x:f>
        <x:v>41.32198529070718</x:v>
      </x:c>
      <x:c r="F9" s="97" t="n">
        <x:f>Forecast!$H$8*F$4/Inputs!$B$13/Inputs!$B$5/(1+$A9)^5</x:f>
        <x:v>48.20898283915839</x:v>
      </x:c>
      <x:c r="G9" s="97" t="n">
        <x:f>Forecast!$H$8*G$4/Inputs!$B$13/Inputs!$B$5/(1+$A9)^5</x:f>
        <x:v>55.09598038760958</x:v>
      </x:c>
      <x:c r="H9" s="97" t="n">
        <x:f>Forecast!$H$8*H$4/Inputs!$B$13/Inputs!$B$5/(1+$A9)^5</x:f>
        <x:v>68.86997548451197</x:v>
      </x:c>
      <x:c r="I9" s="61"/>
      <x:c r="J9" s="61"/>
      <x:c r="K9" s="61"/>
      <x:c r="L9" s="61"/>
      <x:c r="M9" s="61"/>
      <x:c r="N9" s="61"/>
      <x:c r="O9" s="61"/>
    </x:row>
    <x:row r="10"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</x:row>
    <x:row r="11"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A12" s="18" t="str">
        <x:v>All columns are assumed exit price-to-sales equity multiples, not observed peer multiples. All rows are assumed annual required returns. Cell E7 is the base assumption (3x, 11%).</x:v>
      </x:c>
      <x:c r="B12" s="74"/>
      <x:c r="C12" s="74"/>
      <x:c r="D12" s="74"/>
      <x:c r="E12" s="74"/>
      <x:c r="F12" s="74"/>
      <x:c r="G12" s="74"/>
      <x:c r="H12" s="74"/>
      <x:c r="I12" s="61"/>
      <x:c r="J12" s="61"/>
      <x:c r="K12" s="61"/>
      <x:c r="L12" s="61"/>
      <x:c r="M12" s="61"/>
      <x:c r="N12" s="61"/>
      <x:c r="O12" s="61"/>
    </x:row>
    <x:row r="13">
      <x:c r="A13" s="18"/>
      <x:c r="B13" s="74"/>
      <x:c r="C13" s="74"/>
      <x:c r="D13" s="74"/>
      <x:c r="E13" s="74"/>
      <x:c r="F13" s="74"/>
      <x:c r="G13" s="74"/>
      <x:c r="H13" s="74"/>
      <x:c r="I13" s="61"/>
      <x:c r="J13" s="61"/>
      <x:c r="K13" s="61"/>
      <x:c r="L13" s="61"/>
      <x:c r="M13" s="61"/>
      <x:c r="N13" s="61"/>
      <x:c r="O13" s="61"/>
    </x:row>
    <x:row r="14">
      <x:c r="A14" s="18"/>
      <x:c r="B14" s="74"/>
      <x:c r="C14" s="74"/>
      <x:c r="D14" s="74"/>
      <x:c r="E14" s="74"/>
      <x:c r="F14" s="74"/>
      <x:c r="G14" s="74"/>
      <x:c r="H14" s="74"/>
      <x:c r="I14" s="61"/>
      <x:c r="J14" s="61"/>
      <x:c r="K14" s="61"/>
      <x:c r="L14" s="61"/>
      <x:c r="M14" s="61"/>
      <x:c r="N14" s="61"/>
      <x:c r="O14" s="61"/>
    </x:row>
    <x:row r="15"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</x:sheetData>
  <x:mergeCells>
    <x:mergeCell ref="A1:J1"/>
    <x:mergeCell ref="A12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50" hidden="0" customWidth="1"/>
    <x:col min="3" max="3" width="105" hidden="0" customWidth="1"/>
    <x:col min="4" max="4" width="8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9" customHeight="1">
      <x:c r="A1" s="3" t="str">
        <x:v>SOURCES | VERIFY EVERY HARDCODED HISTORICAL INPUT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7" t="str">
        <x:v>ID</x:v>
      </x:c>
      <x:c r="B3" s="7" t="str">
        <x:v>Source and date</x:v>
      </x:c>
      <x:c r="C3" s="7" t="str">
        <x:v>URL</x:v>
      </x:c>
      <x:c r="D3" s="7" t="str">
        <x:v>Use / caveat</x:v>
      </x:c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>
      <x:c r="A4" t="str">
        <x:v>SEC_20F_2025</x:v>
      </x:c>
      <x:c r="B4" s="61" t="str">
        <x:v>On Holding AG FY2025 Form 20-F | 2026-03-03</x:v>
      </x:c>
      <x:c r="C4" s="61" t="str">
        <x:v>https://www.sec.gov/Archives/edgar/data/1858985/000185898526000008/onholdingag-20251231.htm</x:v>
      </x:c>
      <x:c r="D4" s="61" t="str">
        <x:v>Audited 2023-2025 income statements, channels, regions and cash flows; source of data/historical_financials.csv</x:v>
      </x:c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1"/>
    </x:row>
    <x:row r="5">
      <x:c r="A5" t="str">
        <x:v>SEC_Q2_2026</x:v>
      </x:c>
      <x:c r="B5" s="61" t="str">
        <x:v>On Q2 2026 earnings release | 2026-08-11</x:v>
      </x:c>
      <x:c r="C5" s="61" t="str">
        <x:v>https://www.sec.gov/Archives/edgar/data/1858985/000185898526000018/a26q2-ex993xpressrelease.htm</x:v>
      </x:c>
      <x:c r="D5" s="61" t="str">
        <x:v>Q2 2026 growth, margin, H1, 2026 revenue and profitability guidance; data/q2_2026_snapshot.csv</x:v>
      </x:c>
      <x:c r="E5" s="61"/>
      <x:c r="F5" s="61"/>
      <x:c r="G5" s="61"/>
      <x:c r="H5" s="61"/>
      <x:c r="I5" s="61"/>
      <x:c r="J5" s="61"/>
      <x:c r="K5" s="61"/>
      <x:c r="L5" s="61"/>
      <x:c r="M5" s="61"/>
      <x:c r="N5" s="61"/>
      <x:c r="O5" s="61"/>
    </x:row>
    <x:row r="6">
      <x:c r="A6" t="str">
        <x:v>SEC_6K_2026</x:v>
      </x:c>
      <x:c r="B6" s="61" t="str">
        <x:v>On H1 2026 interim financial statements | 2026-08-11</x:v>
      </x:c>
      <x:c r="C6" s="61" t="str">
        <x:v>https://www.sec.gov/Archives/edgar/data/1858985/000185898526000018/onholdingag-20260630_d2.htm</x:v>
      </x:c>
      <x:c r="D6" s="61" t="str">
        <x:v>June 30 2026 Class A and Class B shares outstanding and dilution; 10 B share to 1 A economic equivalence explained in 20-F</x:v>
      </x:c>
      <x:c r="E6" s="61"/>
      <x:c r="F6" s="61"/>
      <x:c r="G6" s="61"/>
      <x:c r="H6" s="61"/>
      <x:c r="I6" s="61"/>
      <x:c r="J6" s="61"/>
      <x:c r="K6" s="61"/>
      <x:c r="L6" s="61"/>
      <x:c r="M6" s="61"/>
      <x:c r="N6" s="61"/>
      <x:c r="O6" s="61"/>
    </x:row>
    <x:row r="7">
      <x:c r="A7" t="str">
        <x:v>YCHARTS_PX</x:v>
      </x:c>
      <x:c r="B7" s="61" t="str">
        <x:v>ONON historical prices (October 19 2026) | 2026-10-19</x:v>
      </x:c>
      <x:c r="C7" s="61" t="str">
        <x:v>https://ycharts.com/companies/ONON/price</x:v>
      </x:c>
      <x:c r="D7" s="61" t="str">
        <x:v>USD 35.41 October 19 2026 closing reference; NOT LIVE</x:v>
      </x:c>
      <x:c r="E7" s="61"/>
      <x:c r="F7" s="61"/>
      <x:c r="G7" s="61"/>
      <x:c r="H7" s="61"/>
      <x:c r="I7" s="61"/>
      <x:c r="J7" s="61"/>
      <x:c r="K7" s="61"/>
      <x:c r="L7" s="61"/>
      <x:c r="M7" s="61"/>
      <x:c r="N7" s="61"/>
      <x:c r="O7" s="61"/>
    </x:row>
    <x:row r="8">
      <x:c r="A8" t="str">
        <x:v>FX_20261019</x:v>
      </x:c>
      <x:c r="B8" s="61" t="str">
        <x:v>USD/CHF historic closing rates | 2026-10-19</x:v>
      </x:c>
      <x:c r="C8" s="61" t="str">
        <x:v>https://www.investing.com/currencies/usd-chf-historical-data</x:v>
      </x:c>
      <x:c r="D8" s="61" t="str">
        <x:v>0.8270 CHF per USD; secondary market-data source; scenario currency input is editable</x:v>
      </x:c>
      <x:c r="E8" s="61"/>
      <x:c r="F8" s="61"/>
      <x:c r="G8" s="61"/>
      <x:c r="H8" s="61"/>
      <x:c r="I8" s="61"/>
      <x:c r="J8" s="61"/>
      <x:c r="K8" s="61"/>
      <x:c r="L8" s="61"/>
      <x:c r="M8" s="61"/>
      <x:c r="N8" s="61"/>
      <x:c r="O8" s="61"/>
    </x:row>
    <x:row r="9">
      <x:c r="B9" s="61"/>
      <x:c r="C9" s="61"/>
      <x:c r="D9" s="61"/>
      <x:c r="E9" s="61"/>
      <x:c r="F9" s="61"/>
      <x:c r="G9" s="61"/>
      <x:c r="H9" s="61"/>
      <x:c r="I9" s="61"/>
      <x:c r="J9" s="61"/>
      <x:c r="K9" s="61"/>
      <x:c r="L9" s="61"/>
      <x:c r="M9" s="61"/>
      <x:c r="N9" s="61"/>
      <x:c r="O9" s="61"/>
    </x:row>
    <x:row r="10"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61"/>
      <x:c r="N10" s="61"/>
      <x:c r="O10" s="61"/>
    </x:row>
    <x:row r="11"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  <x:c r="N11" s="61"/>
      <x:c r="O11" s="61"/>
    </x:row>
    <x:row r="12"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  <x:c r="N12" s="61"/>
      <x:c r="O12" s="61"/>
    </x:row>
    <x:row r="13"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  <x:c r="L13" s="61"/>
      <x:c r="M13" s="61"/>
      <x:c r="N13" s="61"/>
      <x:c r="O13" s="61"/>
    </x:row>
    <x:row r="14"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  <x:c r="M14" s="61"/>
      <x:c r="N14" s="61"/>
      <x:c r="O14" s="61"/>
    </x:row>
    <x:row r="15"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  <x:c r="L15" s="61"/>
      <x:c r="M15" s="61"/>
      <x:c r="N15" s="61"/>
      <x:c r="O15" s="61"/>
    </x:row>
    <x:row r="16">
      <x:c r="B16" s="61"/>
      <x:c r="C16" s="61"/>
      <x:c r="D16" s="61"/>
      <x:c r="E16" s="61"/>
      <x:c r="F16" s="61"/>
      <x:c r="G16" s="61"/>
      <x:c r="H16" s="61"/>
      <x:c r="I16" s="61"/>
      <x:c r="J16" s="61"/>
      <x:c r="K16" s="61"/>
      <x:c r="L16" s="61"/>
      <x:c r="M16" s="61"/>
      <x:c r="N16" s="61"/>
      <x:c r="O16" s="61"/>
    </x:row>
    <x:row r="17">
      <x:c r="B17" s="61"/>
      <x:c r="C17" s="61"/>
      <x:c r="D17" s="61"/>
      <x:c r="E17" s="61"/>
      <x:c r="F17" s="61"/>
      <x:c r="G17" s="61"/>
      <x:c r="H17" s="61"/>
      <x:c r="I17" s="61"/>
      <x:c r="J17" s="61"/>
      <x:c r="K17" s="61"/>
      <x:c r="L17" s="61"/>
      <x:c r="M17" s="61"/>
      <x:c r="N17" s="61"/>
      <x:c r="O17" s="61"/>
    </x:row>
    <x:row r="18">
      <x:c r="B18" s="61"/>
      <x:c r="C18" s="61"/>
      <x:c r="D18" s="61"/>
      <x:c r="E18" s="61"/>
      <x:c r="F18" s="61"/>
      <x:c r="G18" s="61"/>
      <x:c r="H18" s="61"/>
      <x:c r="I18" s="61"/>
      <x:c r="J18" s="61"/>
      <x:c r="K18" s="61"/>
      <x:c r="L18" s="61"/>
      <x:c r="M18" s="61"/>
      <x:c r="N18" s="61"/>
      <x:c r="O18" s="61"/>
    </x:row>
    <x:row r="19"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61"/>
      <x:c r="N19" s="61"/>
      <x:c r="O19" s="61"/>
    </x:row>
    <x:row r="20">
      <x:c r="B20" s="61"/>
      <x:c r="C20" s="61"/>
      <x:c r="D20" s="61"/>
      <x:c r="E20" s="61"/>
      <x:c r="F20" s="61"/>
      <x:c r="G20" s="61"/>
      <x:c r="H20" s="61"/>
      <x:c r="I20" s="61"/>
      <x:c r="J20" s="61"/>
      <x:c r="K20" s="61"/>
      <x:c r="L20" s="61"/>
      <x:c r="M20" s="61"/>
      <x:c r="N20" s="61"/>
      <x:c r="O20" s="61"/>
    </x:row>
    <x:row r="21">
      <x:c r="B21" s="61"/>
      <x:c r="C21" s="61"/>
      <x:c r="D21" s="61"/>
      <x:c r="E21" s="61"/>
      <x:c r="F21" s="61"/>
      <x:c r="G21" s="61"/>
      <x:c r="H21" s="61"/>
      <x:c r="I21" s="61"/>
      <x:c r="J21" s="61"/>
      <x:c r="K21" s="61"/>
      <x:c r="L21" s="61"/>
      <x:c r="M21" s="61"/>
      <x:c r="N21" s="61"/>
      <x:c r="O21" s="61"/>
    </x:row>
    <x:row r="22"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  <x:c r="L22" s="61"/>
      <x:c r="M22" s="61"/>
      <x:c r="N22" s="61"/>
      <x:c r="O22" s="61"/>
    </x:row>
    <x:row r="23">
      <x:c r="B23" s="61"/>
      <x:c r="C23" s="61"/>
      <x:c r="D23" s="61"/>
      <x:c r="E23" s="61"/>
      <x:c r="F23" s="61"/>
      <x:c r="G23" s="61"/>
      <x:c r="H23" s="61"/>
      <x:c r="I23" s="61"/>
      <x:c r="J23" s="61"/>
      <x:c r="K23" s="61"/>
      <x:c r="L23" s="61"/>
      <x:c r="M23" s="61"/>
      <x:c r="N23" s="61"/>
      <x:c r="O23" s="61"/>
    </x:row>
    <x:row r="24">
      <x:c r="B24" s="61"/>
      <x:c r="C24" s="61"/>
      <x:c r="D24" s="61"/>
      <x:c r="E24" s="61"/>
      <x:c r="F24" s="61"/>
      <x:c r="G24" s="61"/>
      <x:c r="H24" s="61"/>
      <x:c r="I24" s="61"/>
      <x:c r="J24" s="61"/>
      <x:c r="K24" s="61"/>
      <x:c r="L24" s="61"/>
      <x:c r="M24" s="61"/>
      <x:c r="N24" s="61"/>
      <x:c r="O24" s="61"/>
    </x:row>
    <x:row r="25">
      <x:c r="B25" s="61"/>
      <x:c r="C25" s="61"/>
      <x:c r="D25" s="61"/>
      <x:c r="E25" s="61"/>
      <x:c r="F25" s="61"/>
      <x:c r="G25" s="61"/>
      <x:c r="H25" s="61"/>
      <x:c r="I25" s="61"/>
      <x:c r="J25" s="61"/>
      <x:c r="K25" s="61"/>
      <x:c r="L25" s="61"/>
      <x:c r="M25" s="61"/>
      <x:c r="N25" s="61"/>
      <x:c r="O25" s="61"/>
    </x:row>
  </x:sheetData>
  <x:mergeCells>
    <x:mergeCell ref="A1:J1"/>
  </x:mergeCells>
  <x:pageMargins left="0.7" right="0.7" top="0.75" bottom="0.75" header="0.3" footer="0.3"/>
</x:worksheet>
</file>